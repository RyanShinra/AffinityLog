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740" yWindow="1420" windowWidth="38400" windowHeight="24880" tabRatio="600" firstSheet="0" activeTab="1" autoFilterDateGrouping="1"/>
  </bookViews>
  <sheets>
    <sheet name="module_evaluation" sheetId="1" state="visible" r:id="rId1"/>
    <sheet name="Module output names" sheetId="2" state="visible" r:id="rId2"/>
    <sheet name="summary" sheetId="3" state="visible" r:id="rId3"/>
  </sheets>
  <definedNames>
    <definedName name="_xlnm._FilterDatabase" localSheetId="0" hidden="1">'module_evaluation'!$A$1:$AD$191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onsolas"/>
      <family val="2"/>
      <b val="1"/>
      <sz val="12"/>
    </font>
    <font>
      <name val="Consolas"/>
      <family val="2"/>
      <sz val="12"/>
    </font>
    <font>
      <name val="Consolas"/>
      <family val="2"/>
      <sz val="12"/>
      <u val="single"/>
    </font>
    <font>
      <name val="Calibri"/>
      <family val="2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1"/>
    <xf numFmtId="0" fontId="8" fillId="0" borderId="0" pivotButton="0" quotePrefix="0" xfId="0"/>
  </cellXfs>
  <cellStyles count="2">
    <cellStyle name="Normal" xfId="0" builtinId="0"/>
    <cellStyle name="Hyperlink" xfId="1" builtinId="8"/>
  </cellStyles>
  <dxfs count="2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D1" authorId="0" shapeId="0">
      <text>
        <t>Blank — paste the human-readable "Module Output" text per card here (from the live Table view). Repeats across all property rows for the same card. Filling this in lets dup_key/flag re-resolve the raw vs -transformed collisions automatically.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D191"/>
  <sheetViews>
    <sheetView zoomScale="110" zoomScaleNormal="110" workbookViewId="0">
      <pane ySplit="1" topLeftCell="A6" activePane="bottomLeft" state="frozen"/>
      <selection pane="bottomLeft" activeCell="B7" sqref="B7"/>
    </sheetView>
  </sheetViews>
  <sheetFormatPr baseColWidth="10" defaultColWidth="8.83203125" defaultRowHeight="15"/>
  <cols>
    <col width="17.83203125" customWidth="1" min="1" max="1"/>
    <col width="30" customWidth="1" min="2" max="2"/>
    <col width="15.33203125" customWidth="1" min="3" max="3"/>
    <col width="28.6640625" customWidth="1" min="4" max="4"/>
    <col width="28.83203125" customWidth="1" min="5" max="5"/>
    <col hidden="1" width="46" customWidth="1" min="6" max="6"/>
    <col width="10" customWidth="1" min="7" max="7"/>
    <col width="11" customWidth="1" style="7" min="8" max="8"/>
    <col width="12" customWidth="1" min="9" max="11"/>
    <col width="8" customWidth="1" min="12" max="13"/>
    <col width="9" customWidth="1" min="14" max="15"/>
    <col width="13" customWidth="1" min="16" max="16"/>
    <col width="14" customWidth="1" min="17" max="18"/>
    <col width="13" customWidth="1" min="19" max="19"/>
    <col width="40" customWidth="1" min="20" max="20"/>
    <col width="9" customWidth="1" min="21" max="21"/>
    <col width="22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10" customWidth="1" min="29" max="29"/>
    <col width="14" customWidth="1" min="30" max="30"/>
  </cols>
  <sheetData>
    <row r="1">
      <c r="A1" s="1" t="inlineStr">
        <is>
          <t>module</t>
        </is>
      </c>
      <c r="B1" s="1" t="inlineStr">
        <is>
          <t>param</t>
        </is>
      </c>
      <c r="C1" s="1" t="inlineStr">
        <is>
          <t>column</t>
        </is>
      </c>
      <c r="D1" s="2" t="inlineStr">
        <is>
          <t>module_output</t>
        </is>
      </c>
      <c r="E1" s="1" t="inlineStr">
        <is>
          <t>property</t>
        </is>
      </c>
      <c r="F1" s="1" t="inlineStr">
        <is>
          <t>dup_key</t>
        </is>
      </c>
      <c r="G1" s="1" t="inlineStr">
        <is>
          <t>dup_count</t>
        </is>
      </c>
      <c r="H1" s="5" t="inlineStr">
        <is>
          <t>spearman</t>
        </is>
      </c>
      <c r="I1" s="1" t="inlineStr">
        <is>
          <t>spearman_min</t>
        </is>
      </c>
      <c r="J1" s="1" t="inlineStr">
        <is>
          <t>spearman_max</t>
        </is>
      </c>
      <c r="K1" s="1" t="inlineStr">
        <is>
          <t>flag</t>
        </is>
      </c>
      <c r="L1" s="1" t="inlineStr">
        <is>
          <t>stars</t>
        </is>
      </c>
      <c r="M1" s="1" t="inlineStr">
        <is>
          <t>n</t>
        </is>
      </c>
      <c r="N1" s="1" t="inlineStr">
        <is>
          <t>auroc</t>
        </is>
      </c>
      <c r="O1" s="1" t="inlineStr">
        <is>
          <t>auprc</t>
        </is>
      </c>
      <c r="P1" s="1" t="inlineStr">
        <is>
          <t>precisionTop5</t>
        </is>
      </c>
      <c r="Q1" s="1" t="inlineStr">
        <is>
          <t>precisionTop5NullDist_low</t>
        </is>
      </c>
      <c r="R1" s="1" t="inlineStr">
        <is>
          <t>precisionTop5NullDist_high</t>
        </is>
      </c>
      <c r="S1" s="1" t="inlineStr">
        <is>
          <t>positive_ratio</t>
        </is>
      </c>
      <c r="T1" s="1" t="inlineStr">
        <is>
          <t>transform</t>
        </is>
      </c>
      <c r="U1" s="1" t="inlineStr">
        <is>
          <t>version</t>
        </is>
      </c>
      <c r="V1" s="1" t="inlineStr">
        <is>
          <t>license</t>
        </is>
      </c>
      <c r="W1" s="1" t="inlineStr">
        <is>
          <t>strata_VHH_n</t>
        </is>
      </c>
      <c r="X1" s="1" t="inlineStr">
        <is>
          <t>strata_VHH_spearman</t>
        </is>
      </c>
      <c r="Y1" s="1" t="inlineStr">
        <is>
          <t>strata_IgG_n</t>
        </is>
      </c>
      <c r="Z1" s="1" t="inlineStr">
        <is>
          <t>strata_IgG_spearman</t>
        </is>
      </c>
      <c r="AA1" s="1" t="inlineStr">
        <is>
          <t>strata_ScFv_n</t>
        </is>
      </c>
      <c r="AB1" s="1" t="inlineStr">
        <is>
          <t>strata_ScFv_spearman</t>
        </is>
      </c>
      <c r="AC1" s="1" t="inlineStr">
        <is>
          <t>strata_NearGermlineIgG_n</t>
        </is>
      </c>
      <c r="AD1" s="1" t="inlineStr">
        <is>
          <t>strata_NearGermlineIgG_spearman</t>
        </is>
      </c>
    </row>
    <row r="2" hidden="1">
      <c r="A2" s="3" t="inlineStr">
        <is>
          <t>FastDPE</t>
        </is>
      </c>
      <c r="B2" s="3" t="n"/>
      <c r="C2" s="3" t="inlineStr">
        <is>
          <t>cdrHydro</t>
        </is>
      </c>
      <c r="D2" t="inlineStr">
        <is>
          <t>FastDPE Patches of Surface Hydrophobicity (CDR-vicinity)</t>
        </is>
      </c>
      <c r="E2" s="3" t="inlineStr">
        <is>
          <t>Hydrophobicity</t>
        </is>
      </c>
      <c r="F2" s="3">
        <f>A2&amp;"|"&amp;B2&amp;"|"&amp;C2&amp;"|"&amp;D2&amp;"|"&amp;E2</f>
        <v/>
      </c>
      <c r="G2" s="3">
        <f>COUNTIF($F$2:$F$191,F2)</f>
        <v/>
      </c>
      <c r="H2" s="3" t="n">
        <v>-0.3</v>
      </c>
      <c r="I2" s="3">
        <f>_xlfn.MINIFS($H$2:$H$191,$F$2:$F$191,F2)</f>
        <v/>
      </c>
      <c r="J2" s="3">
        <f>_xlfn.MAXIFS($H$2:$H$191,$F$2:$F$191,F2)</f>
        <v/>
      </c>
      <c r="K2" s="3">
        <f>IF(G2=1,"",IF(I2=J2,"EXACT_DUP","MISMATCH"))</f>
        <v/>
      </c>
      <c r="L2" s="3" t="inlineStr">
        <is>
          <t>***</t>
        </is>
      </c>
      <c r="M2" s="3" t="n">
        <v>1442</v>
      </c>
      <c r="N2" s="3" t="n"/>
      <c r="O2" s="3" t="n"/>
      <c r="P2" s="3" t="n"/>
      <c r="Q2" s="3" t="n"/>
      <c r="R2" s="3" t="n"/>
      <c r="S2" s="3" t="n"/>
      <c r="T2" s="3" t="n"/>
      <c r="U2" s="3" t="inlineStr">
        <is>
          <t>1.0</t>
        </is>
      </c>
      <c r="V2" s="3" t="inlineStr">
        <is>
          <t>BSD 3-Clause License</t>
        </is>
      </c>
      <c r="W2" s="3" t="n">
        <v>330</v>
      </c>
      <c r="X2" s="3" t="n">
        <v>-0.218</v>
      </c>
      <c r="Y2" s="3" t="n">
        <v>825</v>
      </c>
      <c r="Z2" s="3" t="n">
        <v>-0.351</v>
      </c>
      <c r="AA2" s="3" t="n">
        <v>141</v>
      </c>
      <c r="AB2" s="3" t="n">
        <v>0.07099999999999999</v>
      </c>
      <c r="AC2" s="3" t="n">
        <v>146</v>
      </c>
      <c r="AD2" s="3" t="n">
        <v>-0.059</v>
      </c>
    </row>
    <row r="3" hidden="1">
      <c r="A3" s="3" t="inlineStr">
        <is>
          <t>FastDPE</t>
        </is>
      </c>
      <c r="B3" s="3" t="n"/>
      <c r="C3" s="3" t="inlineStr">
        <is>
          <t>cdrHydro</t>
        </is>
      </c>
      <c r="D3" t="inlineStr">
        <is>
          <t>FastDPE Patches of Surface Hydrophobicity (CDR-vicinity)-transformed</t>
        </is>
      </c>
      <c r="E3" s="3" t="inlineStr">
        <is>
          <t>Hydrophobicity</t>
        </is>
      </c>
      <c r="F3" s="3">
        <f>A3&amp;"|"&amp;B3&amp;"|"&amp;C3&amp;"|"&amp;D3&amp;"|"&amp;E3</f>
        <v/>
      </c>
      <c r="G3" s="3">
        <f>COUNTIF($F$2:$F$191,F3)</f>
        <v/>
      </c>
      <c r="H3" s="3" t="n">
        <v>-0.189</v>
      </c>
      <c r="I3" s="3">
        <f>_xlfn.MINIFS($H$2:$H$191,$F$2:$F$191,F3)</f>
        <v/>
      </c>
      <c r="J3" s="3">
        <f>_xlfn.MAXIFS($H$2:$H$191,$F$2:$F$191,F3)</f>
        <v/>
      </c>
      <c r="K3" s="3">
        <f>IF(G3=1,"",IF(I3=J3,"EXACT_DUP","MISMATCH"))</f>
        <v/>
      </c>
      <c r="L3" s="3" t="inlineStr">
        <is>
          <t>***</t>
        </is>
      </c>
      <c r="M3" s="3" t="n">
        <v>1442</v>
      </c>
      <c r="N3" s="3" t="n"/>
      <c r="O3" s="3" t="n"/>
      <c r="P3" s="3" t="n"/>
      <c r="Q3" s="3" t="n"/>
      <c r="R3" s="3" t="n"/>
      <c r="S3" s="3" t="n"/>
      <c r="T3" s="3" t="inlineStr">
        <is>
          <t>Mahalanobis distance to a Gaussian distribution with μ=123.07, σ=16.87</t>
        </is>
      </c>
      <c r="U3" s="3" t="inlineStr">
        <is>
          <t>1.0</t>
        </is>
      </c>
      <c r="V3" s="3" t="inlineStr">
        <is>
          <t>BSD 3-Clause License</t>
        </is>
      </c>
      <c r="W3" s="3" t="n">
        <v>330</v>
      </c>
      <c r="X3" s="3" t="n">
        <v>0.214</v>
      </c>
      <c r="Y3" s="3" t="n">
        <v>825</v>
      </c>
      <c r="Z3" s="3" t="n">
        <v>-0.257</v>
      </c>
      <c r="AA3" s="3" t="n">
        <v>141</v>
      </c>
      <c r="AB3" s="3" t="n">
        <v>0.081</v>
      </c>
      <c r="AC3" s="3" t="n">
        <v>146</v>
      </c>
      <c r="AD3" s="3" t="n">
        <v>-0.053</v>
      </c>
    </row>
    <row r="4" hidden="1">
      <c r="A4" s="3" t="inlineStr">
        <is>
          <t>FastDPE</t>
        </is>
      </c>
      <c r="B4" s="3" t="n"/>
      <c r="C4" s="3" t="inlineStr">
        <is>
          <t>cdrLen</t>
        </is>
      </c>
      <c r="D4" s="3" t="inlineStr">
        <is>
          <t>FastDPE Total CDR length-transformed</t>
        </is>
      </c>
      <c r="E4" s="3" t="inlineStr">
        <is>
          <t>Aggregation (Polydispersity idx)</t>
        </is>
      </c>
      <c r="F4" s="3">
        <f>A4&amp;"|"&amp;B4&amp;"|"&amp;C4&amp;"|"&amp;D4&amp;"|"&amp;E4</f>
        <v/>
      </c>
      <c r="G4" s="3">
        <f>COUNTIF($F$2:$F$191,F4)</f>
        <v/>
      </c>
      <c r="H4" s="6" t="n">
        <v>0.153</v>
      </c>
      <c r="I4" s="3">
        <f>_xlfn.MINIFS($H$2:$H$191,$F$2:$F$191,F4)</f>
        <v/>
      </c>
      <c r="J4" s="3">
        <f>_xlfn.MAXIFS($H$2:$H$191,$F$2:$F$191,F4)</f>
        <v/>
      </c>
      <c r="K4" s="3">
        <f>IF(G4=1,"",IF(I4=J4,"EXACT_DUP","MISMATCH"))</f>
        <v/>
      </c>
      <c r="L4" s="3" t="inlineStr">
        <is>
          <t>***</t>
        </is>
      </c>
      <c r="M4" s="3" t="n">
        <v>1435</v>
      </c>
      <c r="N4" s="3" t="n">
        <v>0.5</v>
      </c>
      <c r="O4" s="3" t="n">
        <v>0.763</v>
      </c>
      <c r="P4" s="3" t="n">
        <v>0.778</v>
      </c>
      <c r="Q4" s="3" t="n">
        <v>0.694</v>
      </c>
      <c r="R4" s="3" t="n">
        <v>0.847</v>
      </c>
      <c r="S4" s="3" t="n"/>
      <c r="T4" s="3" t="inlineStr">
        <is>
          <t>transformed (benchmark-derived)</t>
        </is>
      </c>
      <c r="U4" s="3" t="inlineStr">
        <is>
          <t>1.0</t>
        </is>
      </c>
      <c r="V4" s="3" t="inlineStr">
        <is>
          <t>BSD 3-Clause License</t>
        </is>
      </c>
      <c r="W4" s="3" t="n">
        <v>329</v>
      </c>
      <c r="X4" s="3" t="n">
        <v>0.332</v>
      </c>
      <c r="Y4" s="3" t="n">
        <v>822</v>
      </c>
      <c r="Z4" s="3" t="n">
        <v>0.025</v>
      </c>
      <c r="AA4" s="3" t="n">
        <v>139</v>
      </c>
      <c r="AB4" s="3" t="n">
        <v>-0.133</v>
      </c>
      <c r="AC4" s="3" t="n">
        <v>145</v>
      </c>
      <c r="AD4" s="3" t="n">
        <v>0.08</v>
      </c>
    </row>
    <row r="5" hidden="1">
      <c r="A5" s="3" t="inlineStr">
        <is>
          <t>FastDPE</t>
        </is>
      </c>
      <c r="B5" s="3" t="n"/>
      <c r="C5" s="3" t="inlineStr">
        <is>
          <t>cdrLen</t>
        </is>
      </c>
      <c r="D5" s="3" t="inlineStr">
        <is>
          <t>FastDPE Total CDR length</t>
        </is>
      </c>
      <c r="E5" s="3" t="inlineStr">
        <is>
          <t>Aggregation (Polydispersity idx)</t>
        </is>
      </c>
      <c r="F5" s="3">
        <f>A5&amp;"|"&amp;B5&amp;"|"&amp;C5&amp;"|"&amp;D5&amp;"|"&amp;E5</f>
        <v/>
      </c>
      <c r="G5" s="3">
        <f>COUNTIF($F$2:$F$191,F5)</f>
        <v/>
      </c>
      <c r="H5" s="6" t="n">
        <v>-0.133</v>
      </c>
      <c r="I5" s="3">
        <f>_xlfn.MINIFS($H$2:$H$191,$F$2:$F$191,F5)</f>
        <v/>
      </c>
      <c r="J5" s="3">
        <f>_xlfn.MAXIFS($H$2:$H$191,$F$2:$F$191,F5)</f>
        <v/>
      </c>
      <c r="K5" s="3">
        <f>IF(G5=1,"",IF(I5=J5,"EXACT_DUP","MISMATCH"))</f>
        <v/>
      </c>
      <c r="L5" s="3" t="inlineStr">
        <is>
          <t>***</t>
        </is>
      </c>
      <c r="M5" s="3" t="n">
        <v>1435</v>
      </c>
      <c r="N5" s="3" t="n">
        <v>0.502</v>
      </c>
      <c r="O5" s="3" t="n">
        <v>0.765</v>
      </c>
      <c r="P5" s="3" t="n">
        <v>0.764</v>
      </c>
      <c r="Q5" s="3" t="n">
        <v>0.708</v>
      </c>
      <c r="R5" s="3" t="n">
        <v>0.847</v>
      </c>
      <c r="S5" s="3" t="n"/>
      <c r="T5" s="3" t="inlineStr">
        <is>
          <t>transformed (benchmark-derived)</t>
        </is>
      </c>
      <c r="U5" s="3" t="inlineStr">
        <is>
          <t>1.0</t>
        </is>
      </c>
      <c r="V5" s="3" t="inlineStr">
        <is>
          <t>BSD 3-Clause License</t>
        </is>
      </c>
      <c r="W5" s="3" t="n">
        <v>329</v>
      </c>
      <c r="X5" s="3" t="n">
        <v>-0.332</v>
      </c>
      <c r="Y5" s="3" t="n">
        <v>822</v>
      </c>
      <c r="Z5" s="3" t="n">
        <v>0.047</v>
      </c>
      <c r="AA5" s="3" t="n">
        <v>139</v>
      </c>
      <c r="AB5" s="3" t="n">
        <v>-0.165</v>
      </c>
      <c r="AC5" s="3" t="n">
        <v>145</v>
      </c>
      <c r="AD5" s="3" t="n">
        <v>-0.014</v>
      </c>
    </row>
    <row r="6">
      <c r="A6" s="3" t="inlineStr">
        <is>
          <t>FastDPE</t>
        </is>
      </c>
      <c r="B6" s="3" t="n"/>
      <c r="C6" s="3" t="inlineStr">
        <is>
          <t>cdrLen</t>
        </is>
      </c>
      <c r="D6" s="3" t="inlineStr">
        <is>
          <t>FastDPE Total CDR length</t>
        </is>
      </c>
      <c r="E6" s="3" t="inlineStr">
        <is>
          <t>Analytical Size Exclusion Chromatography</t>
        </is>
      </c>
      <c r="F6" s="3">
        <f>A6&amp;"|"&amp;B6&amp;"|"&amp;C6&amp;"|"&amp;D6&amp;"|"&amp;E6</f>
        <v/>
      </c>
      <c r="G6" s="3">
        <f>COUNTIF($F$2:$F$191,F6)</f>
        <v/>
      </c>
      <c r="H6" s="3" t="n">
        <v>-0.172</v>
      </c>
      <c r="I6" s="3">
        <f>_xlfn.MINIFS($H$2:$H$191,$F$2:$F$191,F6)</f>
        <v/>
      </c>
      <c r="J6" s="3">
        <f>_xlfn.MAXIFS($H$2:$H$191,$F$2:$F$191,F6)</f>
        <v/>
      </c>
      <c r="K6" s="3">
        <f>IF(G6=1,"",IF(I6=J6,"EXACT_DUP","MISMATCH"))</f>
        <v/>
      </c>
      <c r="L6" s="3" t="inlineStr">
        <is>
          <t>***</t>
        </is>
      </c>
      <c r="M6" s="3" t="n">
        <v>1611</v>
      </c>
      <c r="N6" s="3" t="n">
        <v>0.447</v>
      </c>
      <c r="O6" s="3" t="n">
        <v>0.585</v>
      </c>
      <c r="P6" s="3" t="n">
        <v>0.741</v>
      </c>
      <c r="Q6" s="3" t="n">
        <v>0.531</v>
      </c>
      <c r="R6" s="3" t="n">
        <v>0.68</v>
      </c>
      <c r="S6" s="3" t="n"/>
      <c r="T6" s="3" t="inlineStr">
        <is>
          <t>transformed (benchmark-derived)</t>
        </is>
      </c>
      <c r="U6" s="3" t="inlineStr">
        <is>
          <t>1.0</t>
        </is>
      </c>
      <c r="V6" s="3" t="inlineStr">
        <is>
          <t>BSD 3-Clause License</t>
        </is>
      </c>
      <c r="W6" s="3" t="n">
        <v>353</v>
      </c>
      <c r="X6" s="3" t="n">
        <v>0.187</v>
      </c>
      <c r="Y6" s="3" t="n">
        <v>938</v>
      </c>
      <c r="Z6" s="3" t="n">
        <v>-0.062</v>
      </c>
      <c r="AA6" s="3" t="n">
        <v>156</v>
      </c>
      <c r="AB6" s="3" t="n">
        <v>0.169</v>
      </c>
      <c r="AC6" s="3" t="n">
        <v>164</v>
      </c>
      <c r="AD6" s="3" t="n">
        <v>0.322</v>
      </c>
    </row>
    <row r="7">
      <c r="A7" s="3" t="inlineStr">
        <is>
          <t>FastDPE</t>
        </is>
      </c>
      <c r="B7" s="3" t="n"/>
      <c r="C7" s="3" t="inlineStr">
        <is>
          <t>cdrLen</t>
        </is>
      </c>
      <c r="D7" s="3" t="inlineStr">
        <is>
          <t>FastDPE Total CDR length-transformed</t>
        </is>
      </c>
      <c r="E7" s="3" t="inlineStr">
        <is>
          <t>Analytical Size Exclusion Chromatography</t>
        </is>
      </c>
      <c r="F7" s="3">
        <f>A7&amp;"|"&amp;B7&amp;"|"&amp;C7&amp;"|"&amp;D7&amp;"|"&amp;E7</f>
        <v/>
      </c>
      <c r="G7" s="3">
        <f>COUNTIF($F$2:$F$191,F7)</f>
        <v/>
      </c>
      <c r="H7" s="3" t="n">
        <v>0.104</v>
      </c>
      <c r="I7" s="3">
        <f>_xlfn.MINIFS($H$2:$H$191,$F$2:$F$191,F7)</f>
        <v/>
      </c>
      <c r="J7" s="3">
        <f>_xlfn.MAXIFS($H$2:$H$191,$F$2:$F$191,F7)</f>
        <v/>
      </c>
      <c r="K7" s="3">
        <f>IF(G7=1,"",IF(I7=J7,"EXACT_DUP","MISMATCH"))</f>
        <v/>
      </c>
      <c r="L7" s="3" t="inlineStr">
        <is>
          <t>***</t>
        </is>
      </c>
      <c r="M7" s="3" t="n">
        <v>1611</v>
      </c>
      <c r="N7" s="3" t="n">
        <v>0.487</v>
      </c>
      <c r="O7" s="3" t="n">
        <v>0.599</v>
      </c>
      <c r="P7" s="3" t="n">
        <v>0.654</v>
      </c>
      <c r="Q7" s="3" t="n">
        <v>0.493</v>
      </c>
      <c r="R7" s="3" t="n">
        <v>0.679</v>
      </c>
      <c r="S7" s="3" t="n"/>
      <c r="T7" s="3" t="inlineStr">
        <is>
          <t>transformed (benchmark-derived)</t>
        </is>
      </c>
      <c r="U7" s="3" t="inlineStr">
        <is>
          <t>1.0</t>
        </is>
      </c>
      <c r="V7" s="3" t="inlineStr">
        <is>
          <t>BSD 3-Clause License</t>
        </is>
      </c>
      <c r="W7" s="3" t="n">
        <v>353</v>
      </c>
      <c r="X7" s="3" t="n">
        <v>-0.187</v>
      </c>
      <c r="Y7" s="3" t="n">
        <v>938</v>
      </c>
      <c r="Z7" s="3" t="n">
        <v>-0.056</v>
      </c>
      <c r="AA7" s="3" t="n">
        <v>156</v>
      </c>
      <c r="AB7" s="3" t="n">
        <v>0.098</v>
      </c>
      <c r="AC7" s="3" t="n">
        <v>164</v>
      </c>
      <c r="AD7" s="3" t="n">
        <v>0.144</v>
      </c>
    </row>
    <row r="8" hidden="1">
      <c r="A8" s="3" t="inlineStr">
        <is>
          <t>FastDPE</t>
        </is>
      </c>
      <c r="B8" s="3" t="n"/>
      <c r="C8" s="3" t="inlineStr">
        <is>
          <t>cdrLen</t>
        </is>
      </c>
      <c r="D8" s="3" t="inlineStr">
        <is>
          <t>FastDPE Total CDR length</t>
        </is>
      </c>
      <c r="E8" s="3" t="inlineStr">
        <is>
          <t>Polyreactivity (absorbance)</t>
        </is>
      </c>
      <c r="F8" s="3">
        <f>A8&amp;"|"&amp;B8&amp;"|"&amp;C8&amp;"|"&amp;D8&amp;"|"&amp;E8</f>
        <v/>
      </c>
      <c r="G8" s="3">
        <f>COUNTIF($F$2:$F$191,F8)</f>
        <v/>
      </c>
      <c r="H8" s="3" t="n">
        <v>0.049</v>
      </c>
      <c r="I8" s="3">
        <f>_xlfn.MINIFS($H$2:$H$191,$F$2:$F$191,F8)</f>
        <v/>
      </c>
      <c r="J8" s="3">
        <f>_xlfn.MAXIFS($H$2:$H$191,$F$2:$F$191,F8)</f>
        <v/>
      </c>
      <c r="K8" s="3">
        <f>IF(G8=1,"",IF(I8=J8,"EXACT_DUP","MISMATCH"))</f>
        <v/>
      </c>
      <c r="L8" s="3" t="n"/>
      <c r="M8" s="3" t="n">
        <v>1442</v>
      </c>
      <c r="N8" s="3" t="n">
        <v>0.526</v>
      </c>
      <c r="O8" s="3" t="n">
        <v>0.721</v>
      </c>
      <c r="P8" s="3" t="n">
        <v>0.8080000000000001</v>
      </c>
      <c r="Q8" s="3" t="n">
        <v>0.588</v>
      </c>
      <c r="R8" s="3" t="n">
        <v>0.767</v>
      </c>
      <c r="S8" s="3" t="n"/>
      <c r="T8" s="3" t="inlineStr">
        <is>
          <t>transformed (benchmark-derived)</t>
        </is>
      </c>
      <c r="U8" s="3" t="inlineStr">
        <is>
          <t>1.0</t>
        </is>
      </c>
      <c r="V8" s="3" t="inlineStr">
        <is>
          <t>BSD 3-Clause License</t>
        </is>
      </c>
      <c r="W8" s="3" t="n">
        <v>330</v>
      </c>
      <c r="X8" s="3" t="n">
        <v>0.29</v>
      </c>
      <c r="Y8" s="3" t="n">
        <v>825</v>
      </c>
      <c r="Z8" s="3" t="n">
        <v>0.136</v>
      </c>
      <c r="AA8" s="3" t="n">
        <v>141</v>
      </c>
      <c r="AB8" s="3" t="n">
        <v>-0.125</v>
      </c>
      <c r="AC8" s="3" t="n">
        <v>146</v>
      </c>
      <c r="AD8" s="3" t="n">
        <v>-0.32</v>
      </c>
    </row>
    <row r="9" hidden="1">
      <c r="A9" s="3" t="inlineStr">
        <is>
          <t>FastDPE</t>
        </is>
      </c>
      <c r="B9" s="3" t="n"/>
      <c r="C9" s="3" t="inlineStr">
        <is>
          <t>cdrLen</t>
        </is>
      </c>
      <c r="D9" s="3" t="inlineStr">
        <is>
          <t>FastDPE Total CDR length-transformed</t>
        </is>
      </c>
      <c r="E9" s="3" t="inlineStr">
        <is>
          <t>Polyreactivity (absorbance)</t>
        </is>
      </c>
      <c r="F9" s="3">
        <f>A9&amp;"|"&amp;B9&amp;"|"&amp;C9&amp;"|"&amp;D9&amp;"|"&amp;E9</f>
        <v/>
      </c>
      <c r="G9" s="3">
        <f>COUNTIF($F$2:$F$191,F9)</f>
        <v/>
      </c>
      <c r="H9" s="3" t="n">
        <v>-0.029</v>
      </c>
      <c r="I9" s="3">
        <f>_xlfn.MINIFS($H$2:$H$191,$F$2:$F$191,F9)</f>
        <v/>
      </c>
      <c r="J9" s="3">
        <f>_xlfn.MAXIFS($H$2:$H$191,$F$2:$F$191,F9)</f>
        <v/>
      </c>
      <c r="K9" s="3">
        <f>IF(G9=1,"",IF(I9=J9,"EXACT_DUP","MISMATCH"))</f>
        <v/>
      </c>
      <c r="L9" s="3" t="n"/>
      <c r="M9" s="3" t="n">
        <v>1442</v>
      </c>
      <c r="N9" s="3" t="n">
        <v>0.535</v>
      </c>
      <c r="O9" s="3" t="n">
        <v>0.722</v>
      </c>
      <c r="P9" s="3" t="n">
        <v>0.781</v>
      </c>
      <c r="Q9" s="3" t="n">
        <v>0.589</v>
      </c>
      <c r="R9" s="3" t="n">
        <v>0.767</v>
      </c>
      <c r="S9" s="3" t="n"/>
      <c r="T9" s="3" t="inlineStr">
        <is>
          <t>transformed (benchmark-derived)</t>
        </is>
      </c>
      <c r="U9" s="3" t="inlineStr">
        <is>
          <t>1.0</t>
        </is>
      </c>
      <c r="V9" s="3" t="inlineStr">
        <is>
          <t>BSD 3-Clause License</t>
        </is>
      </c>
      <c r="W9" s="3" t="n">
        <v>330</v>
      </c>
      <c r="X9" s="3" t="n">
        <v>-0.29</v>
      </c>
      <c r="Y9" s="3" t="n">
        <v>825</v>
      </c>
      <c r="Z9" s="3" t="n">
        <v>-0.098</v>
      </c>
      <c r="AA9" s="3" t="n">
        <v>141</v>
      </c>
      <c r="AB9" s="3" t="n">
        <v>-0.07000000000000001</v>
      </c>
      <c r="AC9" s="3" t="n">
        <v>146</v>
      </c>
      <c r="AD9" s="3" t="n">
        <v>-0.147</v>
      </c>
    </row>
    <row r="10" hidden="1">
      <c r="A10" s="3" t="inlineStr">
        <is>
          <t>FastDPE</t>
        </is>
      </c>
      <c r="B10" s="3" t="n"/>
      <c r="C10" s="3" t="inlineStr">
        <is>
          <t>cdrLen</t>
        </is>
      </c>
      <c r="D10" s="3" t="inlineStr">
        <is>
          <t>FastDPE Total CDR length-transformed</t>
        </is>
      </c>
      <c r="E10" s="3" t="inlineStr">
        <is>
          <t>Thermostability (Tm1)</t>
        </is>
      </c>
      <c r="F10" s="3">
        <f>A10&amp;"|"&amp;B10&amp;"|"&amp;C10&amp;"|"&amp;D10&amp;"|"&amp;E10</f>
        <v/>
      </c>
      <c r="G10" s="3">
        <f>COUNTIF($F$2:$F$191,F10)</f>
        <v/>
      </c>
      <c r="H10" s="3" t="n">
        <v>-0.277</v>
      </c>
      <c r="I10" s="3">
        <f>_xlfn.MINIFS($H$2:$H$191,$F$2:$F$191,F10)</f>
        <v/>
      </c>
      <c r="J10" s="3">
        <f>_xlfn.MAXIFS($H$2:$H$191,$F$2:$F$191,F10)</f>
        <v/>
      </c>
      <c r="K10" s="3">
        <f>IF(G10=1,"",IF(I10=J10,"EXACT_DUP","MISMATCH"))</f>
        <v/>
      </c>
      <c r="L10" s="3" t="inlineStr">
        <is>
          <t>***</t>
        </is>
      </c>
      <c r="M10" s="3" t="n">
        <v>1568</v>
      </c>
      <c r="N10" s="3" t="n">
        <v>0.607</v>
      </c>
      <c r="O10" s="3" t="n">
        <v>0.652</v>
      </c>
      <c r="P10" s="3" t="n">
        <v>0.671</v>
      </c>
      <c r="Q10" s="3" t="n">
        <v>0.481</v>
      </c>
      <c r="R10" s="3" t="n">
        <v>0.659</v>
      </c>
      <c r="S10" s="3" t="n"/>
      <c r="T10" s="3" t="inlineStr">
        <is>
          <t>transformed (benchmark-derived)</t>
        </is>
      </c>
      <c r="U10" s="3" t="inlineStr">
        <is>
          <t>1.0</t>
        </is>
      </c>
      <c r="V10" s="3" t="inlineStr">
        <is>
          <t>BSD 3-Clause License</t>
        </is>
      </c>
      <c r="W10" s="3" t="n">
        <v>319</v>
      </c>
      <c r="X10" s="3" t="n">
        <v>-0.299</v>
      </c>
      <c r="Y10" s="3" t="n">
        <v>943</v>
      </c>
      <c r="Z10" s="3" t="n">
        <v>-0.204</v>
      </c>
      <c r="AA10" s="3" t="n">
        <v>149</v>
      </c>
      <c r="AB10" s="3" t="n">
        <v>0.077</v>
      </c>
      <c r="AC10" s="3" t="n">
        <v>157</v>
      </c>
      <c r="AD10" s="3" t="n">
        <v>-0.099</v>
      </c>
    </row>
    <row r="11" hidden="1">
      <c r="A11" s="3" t="inlineStr">
        <is>
          <t>FastDPE</t>
        </is>
      </c>
      <c r="B11" s="3" t="n"/>
      <c r="C11" s="3" t="inlineStr">
        <is>
          <t>cdrLen</t>
        </is>
      </c>
      <c r="D11" s="3" t="inlineStr">
        <is>
          <t>FastDPE Total CDR length</t>
        </is>
      </c>
      <c r="E11" s="3" t="inlineStr">
        <is>
          <t>Thermostability (Tm1)</t>
        </is>
      </c>
      <c r="F11" s="3">
        <f>A11&amp;"|"&amp;B11&amp;"|"&amp;C11&amp;"|"&amp;D11&amp;"|"&amp;E11</f>
        <v/>
      </c>
      <c r="G11" s="3">
        <f>COUNTIF($F$2:$F$191,F11)</f>
        <v/>
      </c>
      <c r="H11" s="3" t="n">
        <v>0.022</v>
      </c>
      <c r="I11" s="3">
        <f>_xlfn.MINIFS($H$2:$H$191,$F$2:$F$191,F11)</f>
        <v/>
      </c>
      <c r="J11" s="3">
        <f>_xlfn.MAXIFS($H$2:$H$191,$F$2:$F$191,F11)</f>
        <v/>
      </c>
      <c r="K11" s="3">
        <f>IF(G11=1,"",IF(I11=J11,"EXACT_DUP","MISMATCH"))</f>
        <v/>
      </c>
      <c r="L11" s="3" t="n"/>
      <c r="M11" s="3" t="n">
        <v>1568</v>
      </c>
      <c r="N11" s="3" t="n">
        <v>0.485</v>
      </c>
      <c r="O11" s="3" t="n">
        <v>0.552</v>
      </c>
      <c r="P11" s="3" t="n">
        <v>0.456</v>
      </c>
      <c r="Q11" s="3" t="n">
        <v>0.494</v>
      </c>
      <c r="R11" s="3" t="n">
        <v>0.6840000000000001</v>
      </c>
      <c r="S11" s="3" t="n"/>
      <c r="T11" s="3" t="inlineStr">
        <is>
          <t>transformed (benchmark-derived)</t>
        </is>
      </c>
      <c r="U11" s="3" t="inlineStr">
        <is>
          <t>1.0</t>
        </is>
      </c>
      <c r="V11" s="3" t="inlineStr">
        <is>
          <t>BSD 3-Clause License</t>
        </is>
      </c>
      <c r="W11" s="3" t="n">
        <v>319</v>
      </c>
      <c r="X11" s="3" t="n">
        <v>0.299</v>
      </c>
      <c r="Y11" s="3" t="n">
        <v>943</v>
      </c>
      <c r="Z11" s="3" t="n">
        <v>-0.22</v>
      </c>
      <c r="AA11" s="3" t="n">
        <v>149</v>
      </c>
      <c r="AB11" s="3" t="n">
        <v>0.099</v>
      </c>
      <c r="AC11" s="3" t="n">
        <v>157</v>
      </c>
      <c r="AD11" s="3" t="n">
        <v>0.07000000000000001</v>
      </c>
    </row>
    <row r="12" hidden="1">
      <c r="A12" s="3" t="inlineStr">
        <is>
          <t>FastDPE</t>
        </is>
      </c>
      <c r="B12" s="3" t="n"/>
      <c r="C12" s="3" t="inlineStr">
        <is>
          <t>cdrLen</t>
        </is>
      </c>
      <c r="D12" s="3" t="inlineStr">
        <is>
          <t>FastDPE Total CDR length-transformed</t>
        </is>
      </c>
      <c r="E12" s="3" t="inlineStr">
        <is>
          <t>Thermostability (Tm2)</t>
        </is>
      </c>
      <c r="F12" s="3">
        <f>A12&amp;"|"&amp;B12&amp;"|"&amp;C12&amp;"|"&amp;D12&amp;"|"&amp;E12</f>
        <v/>
      </c>
      <c r="G12" s="3">
        <f>COUNTIF($F$2:$F$191,F12)</f>
        <v/>
      </c>
      <c r="H12" s="3" t="n">
        <v>-0.115</v>
      </c>
      <c r="I12" s="3">
        <f>_xlfn.MINIFS($H$2:$H$191,$F$2:$F$191,F12)</f>
        <v/>
      </c>
      <c r="J12" s="3">
        <f>_xlfn.MAXIFS($H$2:$H$191,$F$2:$F$191,F12)</f>
        <v/>
      </c>
      <c r="K12" s="3">
        <f>IF(G12=1,"",IF(I12=J12,"EXACT_DUP","MISMATCH"))</f>
        <v/>
      </c>
      <c r="L12" s="3" t="inlineStr">
        <is>
          <t>***</t>
        </is>
      </c>
      <c r="M12" s="3" t="n">
        <v>1196</v>
      </c>
      <c r="N12" s="3" t="n">
        <v>0.556</v>
      </c>
      <c r="O12" s="3" t="n">
        <v>0.668</v>
      </c>
      <c r="P12" s="3" t="n">
        <v>0.533</v>
      </c>
      <c r="Q12" s="3" t="n">
        <v>0.517</v>
      </c>
      <c r="R12" s="3" t="n">
        <v>0.701</v>
      </c>
      <c r="S12" s="3" t="n"/>
      <c r="T12" s="3" t="inlineStr">
        <is>
          <t>transformed (benchmark-derived)</t>
        </is>
      </c>
      <c r="U12" s="3" t="inlineStr">
        <is>
          <t>1.0</t>
        </is>
      </c>
      <c r="V12" s="3" t="inlineStr">
        <is>
          <t>BSD 3-Clause License</t>
        </is>
      </c>
      <c r="W12" s="3" t="n">
        <v>287</v>
      </c>
      <c r="X12" s="3" t="n">
        <v>-0.286</v>
      </c>
      <c r="Y12" s="3" t="n">
        <v>636</v>
      </c>
      <c r="Z12" s="3" t="n">
        <v>-0.055</v>
      </c>
      <c r="AA12" s="3" t="n">
        <v>146</v>
      </c>
      <c r="AB12" s="3" t="n">
        <v>0.014</v>
      </c>
      <c r="AC12" s="3" t="n">
        <v>127</v>
      </c>
      <c r="AD12" s="3" t="n">
        <v>-0.07000000000000001</v>
      </c>
    </row>
    <row r="13" hidden="1">
      <c r="A13" s="3" t="inlineStr">
        <is>
          <t>FastDPE</t>
        </is>
      </c>
      <c r="B13" s="3" t="n"/>
      <c r="C13" s="3" t="inlineStr">
        <is>
          <t>cdrLen</t>
        </is>
      </c>
      <c r="D13" s="3" t="inlineStr">
        <is>
          <t>FastDPE Total CDR length</t>
        </is>
      </c>
      <c r="E13" s="3" t="inlineStr">
        <is>
          <t>Thermostability (Tm2)</t>
        </is>
      </c>
      <c r="F13" s="3">
        <f>A13&amp;"|"&amp;B13&amp;"|"&amp;C13&amp;"|"&amp;D13&amp;"|"&amp;E13</f>
        <v/>
      </c>
      <c r="G13" s="3">
        <f>COUNTIF($F$2:$F$191,F13)</f>
        <v/>
      </c>
      <c r="H13" s="3" t="n">
        <v>0.046</v>
      </c>
      <c r="I13" s="3">
        <f>_xlfn.MINIFS($H$2:$H$191,$F$2:$F$191,F13)</f>
        <v/>
      </c>
      <c r="J13" s="3">
        <f>_xlfn.MAXIFS($H$2:$H$191,$F$2:$F$191,F13)</f>
        <v/>
      </c>
      <c r="K13" s="3">
        <f>IF(G13=1,"",IF(I13=J13,"EXACT_DUP","MISMATCH"))</f>
        <v/>
      </c>
      <c r="L13" s="3" t="n"/>
      <c r="M13" s="3" t="n">
        <v>1196</v>
      </c>
      <c r="N13" s="3" t="n">
        <v>0.516</v>
      </c>
      <c r="O13" s="3" t="n">
        <v>0.63</v>
      </c>
      <c r="P13" s="3" t="n">
        <v>0.617</v>
      </c>
      <c r="Q13" s="3" t="n">
        <v>0.549</v>
      </c>
      <c r="R13" s="3" t="n">
        <v>0.717</v>
      </c>
      <c r="S13" s="3" t="n"/>
      <c r="T13" s="3" t="inlineStr">
        <is>
          <t>transformed (benchmark-derived)</t>
        </is>
      </c>
      <c r="U13" s="3" t="inlineStr">
        <is>
          <t>1.0</t>
        </is>
      </c>
      <c r="V13" s="3" t="inlineStr">
        <is>
          <t>BSD 3-Clause License</t>
        </is>
      </c>
      <c r="W13" s="3" t="n">
        <v>287</v>
      </c>
      <c r="X13" s="3" t="n">
        <v>0.286</v>
      </c>
      <c r="Y13" s="3" t="n">
        <v>636</v>
      </c>
      <c r="Z13" s="3" t="n">
        <v>-0.111</v>
      </c>
      <c r="AA13" s="3" t="n">
        <v>146</v>
      </c>
      <c r="AB13" s="3" t="n">
        <v>0.03</v>
      </c>
      <c r="AC13" s="3" t="n">
        <v>127</v>
      </c>
      <c r="AD13" s="3" t="n">
        <v>0.105</v>
      </c>
    </row>
    <row r="14" hidden="1">
      <c r="A14" s="3" t="inlineStr">
        <is>
          <t>FastDPE</t>
        </is>
      </c>
      <c r="B14" s="3" t="n"/>
      <c r="C14" s="3" t="inlineStr">
        <is>
          <t>cdrLen</t>
        </is>
      </c>
      <c r="D14" s="3" t="inlineStr">
        <is>
          <t>FastDPE Total CDR length-transformed</t>
        </is>
      </c>
      <c r="E14" s="3" t="inlineStr">
        <is>
          <t>Thermostability (Tm3)</t>
        </is>
      </c>
      <c r="F14" s="3">
        <f>A14&amp;"|"&amp;B14&amp;"|"&amp;C14&amp;"|"&amp;D14&amp;"|"&amp;E14</f>
        <v/>
      </c>
      <c r="G14" s="3">
        <f>COUNTIF($F$2:$F$191,F14)</f>
        <v/>
      </c>
      <c r="H14" s="3" t="n">
        <v>-0.251</v>
      </c>
      <c r="I14" s="3">
        <f>_xlfn.MINIFS($H$2:$H$191,$F$2:$F$191,F14)</f>
        <v/>
      </c>
      <c r="J14" s="3">
        <f>_xlfn.MAXIFS($H$2:$H$191,$F$2:$F$191,F14)</f>
        <v/>
      </c>
      <c r="K14" s="3">
        <f>IF(G14=1,"",IF(I14=J14,"EXACT_DUP","MISMATCH"))</f>
        <v/>
      </c>
      <c r="L14" s="3" t="inlineStr">
        <is>
          <t>***</t>
        </is>
      </c>
      <c r="M14" s="3" t="n">
        <v>189</v>
      </c>
      <c r="N14" s="3" t="n">
        <v>0.696</v>
      </c>
      <c r="O14" s="3" t="n">
        <v>0.587</v>
      </c>
      <c r="P14" s="3" t="n">
        <v>0.6</v>
      </c>
      <c r="Q14" s="3" t="n">
        <v>0.2</v>
      </c>
      <c r="R14" s="3" t="n">
        <v>0.705</v>
      </c>
      <c r="S14" s="3" t="n"/>
      <c r="T14" s="3" t="inlineStr">
        <is>
          <t>transformed (benchmark-derived)</t>
        </is>
      </c>
      <c r="U14" s="3" t="inlineStr">
        <is>
          <t>1.0</t>
        </is>
      </c>
      <c r="V14" s="3" t="inlineStr">
        <is>
          <t>BSD 3-Clause License</t>
        </is>
      </c>
      <c r="W14" s="3" t="n">
        <v>84</v>
      </c>
      <c r="X14" s="3" t="n">
        <v>-0.419</v>
      </c>
      <c r="Y14" s="3" t="n">
        <v>42</v>
      </c>
      <c r="Z14" s="3" t="n">
        <v>-0.237</v>
      </c>
      <c r="AA14" s="3" t="n">
        <v>60</v>
      </c>
      <c r="AB14" s="3" t="n">
        <v>-0.109</v>
      </c>
      <c r="AC14" s="3" t="n"/>
      <c r="AD14" s="3" t="n"/>
    </row>
    <row r="15" hidden="1">
      <c r="A15" s="3" t="inlineStr">
        <is>
          <t>FastDPE</t>
        </is>
      </c>
      <c r="B15" s="3" t="n"/>
      <c r="C15" s="3" t="inlineStr">
        <is>
          <t>cdrLen</t>
        </is>
      </c>
      <c r="D15" s="3" t="inlineStr">
        <is>
          <t>FastDPE Total CDR length</t>
        </is>
      </c>
      <c r="E15" s="3" t="inlineStr">
        <is>
          <t>Thermostability (Tm3)</t>
        </is>
      </c>
      <c r="F15" s="3">
        <f>A15&amp;"|"&amp;B15&amp;"|"&amp;C15&amp;"|"&amp;D15&amp;"|"&amp;E15</f>
        <v/>
      </c>
      <c r="G15" s="3">
        <f>COUNTIF($F$2:$F$191,F15)</f>
        <v/>
      </c>
      <c r="H15" s="3" t="n">
        <v>0.153</v>
      </c>
      <c r="I15" s="3">
        <f>_xlfn.MINIFS($H$2:$H$191,$F$2:$F$191,F15)</f>
        <v/>
      </c>
      <c r="J15" s="3">
        <f>_xlfn.MAXIFS($H$2:$H$191,$F$2:$F$191,F15)</f>
        <v/>
      </c>
      <c r="K15" s="3">
        <f>IF(G15=1,"",IF(I15=J15,"EXACT_DUP","MISMATCH"))</f>
        <v/>
      </c>
      <c r="L15" s="3" t="inlineStr">
        <is>
          <t>*</t>
        </is>
      </c>
      <c r="M15" s="3" t="n">
        <v>189</v>
      </c>
      <c r="N15" s="3" t="n">
        <v>0.623</v>
      </c>
      <c r="O15" s="3" t="n">
        <v>0.49</v>
      </c>
      <c r="P15" s="3" t="n">
        <v>0.5</v>
      </c>
      <c r="Q15" s="3" t="n">
        <v>0.2</v>
      </c>
      <c r="R15" s="3" t="n">
        <v>0.605</v>
      </c>
      <c r="S15" s="3" t="n"/>
      <c r="T15" s="3" t="inlineStr">
        <is>
          <t>transformed (benchmark-derived)</t>
        </is>
      </c>
      <c r="U15" s="3" t="inlineStr">
        <is>
          <t>1.0</t>
        </is>
      </c>
      <c r="V15" s="3" t="inlineStr">
        <is>
          <t>BSD 3-Clause License</t>
        </is>
      </c>
      <c r="W15" s="3" t="n">
        <v>84</v>
      </c>
      <c r="X15" s="3" t="n">
        <v>0.419</v>
      </c>
      <c r="Y15" s="3" t="n">
        <v>42</v>
      </c>
      <c r="Z15" s="3" t="n">
        <v>0.08599999999999999</v>
      </c>
      <c r="AA15" s="3" t="n">
        <v>60</v>
      </c>
      <c r="AB15" s="3" t="n">
        <v>-0.06</v>
      </c>
      <c r="AC15" s="3" t="n"/>
      <c r="AD15" s="3" t="n"/>
    </row>
    <row r="16" hidden="1">
      <c r="A16" s="3" t="inlineStr">
        <is>
          <t>FastDPE</t>
        </is>
      </c>
      <c r="B16" s="3" t="n"/>
      <c r="C16" s="3" t="inlineStr">
        <is>
          <t>cdrLen</t>
        </is>
      </c>
      <c r="D16" s="3" t="inlineStr">
        <is>
          <t>FastDPE Total CDR length-transformed</t>
        </is>
      </c>
      <c r="E16" s="3" t="inlineStr">
        <is>
          <t>Thermostability (onset)</t>
        </is>
      </c>
      <c r="F16" s="3">
        <f>A16&amp;"|"&amp;B16&amp;"|"&amp;C16&amp;"|"&amp;D16&amp;"|"&amp;E16</f>
        <v/>
      </c>
      <c r="G16" s="3">
        <f>COUNTIF($F$2:$F$191,F16)</f>
        <v/>
      </c>
      <c r="H16" s="3" t="n">
        <v>-0.276</v>
      </c>
      <c r="I16" s="3">
        <f>_xlfn.MINIFS($H$2:$H$191,$F$2:$F$191,F16)</f>
        <v/>
      </c>
      <c r="J16" s="3">
        <f>_xlfn.MAXIFS($H$2:$H$191,$F$2:$F$191,F16)</f>
        <v/>
      </c>
      <c r="K16" s="3">
        <f>IF(G16=1,"",IF(I16=J16,"EXACT_DUP","MISMATCH"))</f>
        <v/>
      </c>
      <c r="L16" s="3" t="inlineStr">
        <is>
          <t>***</t>
        </is>
      </c>
      <c r="M16" s="3" t="n">
        <v>1565</v>
      </c>
      <c r="N16" s="3" t="n">
        <v>0.636</v>
      </c>
      <c r="O16" s="3" t="n">
        <v>0.701</v>
      </c>
      <c r="P16" s="3" t="n">
        <v>0.722</v>
      </c>
      <c r="Q16" s="3" t="n">
        <v>0.519</v>
      </c>
      <c r="R16" s="3" t="n">
        <v>0.734</v>
      </c>
      <c r="S16" s="3" t="n"/>
      <c r="T16" s="3" t="inlineStr">
        <is>
          <t>transformed (benchmark-derived)</t>
        </is>
      </c>
      <c r="U16" s="3" t="inlineStr">
        <is>
          <t>1.0</t>
        </is>
      </c>
      <c r="V16" s="3" t="inlineStr">
        <is>
          <t>BSD 3-Clause License</t>
        </is>
      </c>
      <c r="W16" s="3" t="n">
        <v>319</v>
      </c>
      <c r="X16" s="3" t="n">
        <v>-0.334</v>
      </c>
      <c r="Y16" s="3" t="n">
        <v>940</v>
      </c>
      <c r="Z16" s="3" t="n">
        <v>-0.187</v>
      </c>
      <c r="AA16" s="3" t="n">
        <v>149</v>
      </c>
      <c r="AB16" s="3" t="n">
        <v>0.147</v>
      </c>
      <c r="AC16" s="3" t="n">
        <v>157</v>
      </c>
      <c r="AD16" s="3" t="n">
        <v>-0.035</v>
      </c>
    </row>
    <row r="17" hidden="1">
      <c r="A17" s="3" t="inlineStr">
        <is>
          <t>FastDPE</t>
        </is>
      </c>
      <c r="B17" s="3" t="n"/>
      <c r="C17" s="3" t="inlineStr">
        <is>
          <t>cdrLen</t>
        </is>
      </c>
      <c r="D17" s="3" t="inlineStr">
        <is>
          <t>FastDPE Total CDR length</t>
        </is>
      </c>
      <c r="E17" s="3" t="inlineStr">
        <is>
          <t>Thermostability (onset)</t>
        </is>
      </c>
      <c r="F17" s="3">
        <f>A17&amp;"|"&amp;B17&amp;"|"&amp;C17&amp;"|"&amp;D17&amp;"|"&amp;E17</f>
        <v/>
      </c>
      <c r="G17" s="3">
        <f>COUNTIF($F$2:$F$191,F17)</f>
        <v/>
      </c>
      <c r="H17" s="3" t="n">
        <v>0.059</v>
      </c>
      <c r="I17" s="3">
        <f>_xlfn.MINIFS($H$2:$H$191,$F$2:$F$191,F17)</f>
        <v/>
      </c>
      <c r="J17" s="3">
        <f>_xlfn.MAXIFS($H$2:$H$191,$F$2:$F$191,F17)</f>
        <v/>
      </c>
      <c r="K17" s="3">
        <f>IF(G17=1,"",IF(I17=J17,"EXACT_DUP","MISMATCH"))</f>
        <v/>
      </c>
      <c r="L17" s="3" t="inlineStr">
        <is>
          <t>*</t>
        </is>
      </c>
      <c r="M17" s="3" t="n">
        <v>1565</v>
      </c>
      <c r="N17" s="3" t="n">
        <v>0.515</v>
      </c>
      <c r="O17" s="3" t="n">
        <v>0.598</v>
      </c>
      <c r="P17" s="3" t="n">
        <v>0.468</v>
      </c>
      <c r="Q17" s="3" t="n">
        <v>0.519</v>
      </c>
      <c r="R17" s="3" t="n">
        <v>0.697</v>
      </c>
      <c r="S17" s="3" t="n"/>
      <c r="T17" s="3" t="inlineStr">
        <is>
          <t>transformed (benchmark-derived)</t>
        </is>
      </c>
      <c r="U17" s="3" t="inlineStr">
        <is>
          <t>1.0</t>
        </is>
      </c>
      <c r="V17" s="3" t="inlineStr">
        <is>
          <t>BSD 3-Clause License</t>
        </is>
      </c>
      <c r="W17" s="3" t="n">
        <v>319</v>
      </c>
      <c r="X17" s="3" t="n">
        <v>0.334</v>
      </c>
      <c r="Y17" s="3" t="n">
        <v>940</v>
      </c>
      <c r="Z17" s="3" t="n">
        <v>-0.165</v>
      </c>
      <c r="AA17" s="3" t="n">
        <v>149</v>
      </c>
      <c r="AB17" s="3" t="n">
        <v>0.184</v>
      </c>
      <c r="AC17" s="3" t="n">
        <v>157</v>
      </c>
      <c r="AD17" s="3" t="n">
        <v>0.047</v>
      </c>
    </row>
    <row r="18" hidden="1">
      <c r="A18" s="3" t="inlineStr">
        <is>
          <t>FastDPE</t>
        </is>
      </c>
      <c r="B18" s="3" t="n"/>
      <c r="C18" s="3" t="inlineStr">
        <is>
          <t>cdrLen</t>
        </is>
      </c>
      <c r="D18" s="3" t="inlineStr">
        <is>
          <t>FastDPE Total CDR length</t>
        </is>
      </c>
      <c r="E18" s="3" t="inlineStr">
        <is>
          <t>Titer</t>
        </is>
      </c>
      <c r="F18" s="3">
        <f>A18&amp;"|"&amp;B18&amp;"|"&amp;C18&amp;"|"&amp;D18&amp;"|"&amp;E18</f>
        <v/>
      </c>
      <c r="G18" s="3">
        <f>COUNTIF($F$2:$F$191,F18)</f>
        <v/>
      </c>
      <c r="H18" s="3" t="n">
        <v>-0.131</v>
      </c>
      <c r="I18" s="3">
        <f>_xlfn.MINIFS($H$2:$H$191,$F$2:$F$191,F18)</f>
        <v/>
      </c>
      <c r="J18" s="3">
        <f>_xlfn.MAXIFS($H$2:$H$191,$F$2:$F$191,F18)</f>
        <v/>
      </c>
      <c r="K18" s="3">
        <f>IF(G18=1,"",IF(I18=J18,"EXACT_DUP","MISMATCH"))</f>
        <v/>
      </c>
      <c r="L18" s="3" t="inlineStr">
        <is>
          <t>***</t>
        </is>
      </c>
      <c r="M18" s="3" t="n">
        <v>4671</v>
      </c>
      <c r="N18" s="3" t="n">
        <v>0.452</v>
      </c>
      <c r="O18" s="3" t="n">
        <v>0.293</v>
      </c>
      <c r="P18" s="3" t="n">
        <v>0.235</v>
      </c>
      <c r="Q18" s="3" t="n">
        <v>0.273</v>
      </c>
      <c r="R18" s="3" t="n">
        <v>0.372</v>
      </c>
      <c r="S18" s="3" t="n"/>
      <c r="T18" s="3" t="inlineStr">
        <is>
          <t>transformed (benchmark-derived)</t>
        </is>
      </c>
      <c r="U18" s="3" t="inlineStr">
        <is>
          <t>1.0</t>
        </is>
      </c>
      <c r="V18" s="3" t="inlineStr">
        <is>
          <t>BSD 3-Clause License</t>
        </is>
      </c>
      <c r="W18" s="3" t="n">
        <v>658</v>
      </c>
      <c r="X18" s="3" t="n">
        <v>0.298</v>
      </c>
      <c r="Y18" s="3" t="n">
        <v>3259</v>
      </c>
      <c r="Z18" s="3" t="n">
        <v>-0.075</v>
      </c>
      <c r="AA18" s="3" t="n">
        <v>290</v>
      </c>
      <c r="AB18" s="3" t="n">
        <v>0.481</v>
      </c>
      <c r="AC18" s="3" t="n">
        <v>464</v>
      </c>
      <c r="AD18" s="3" t="n">
        <v>-0.034</v>
      </c>
    </row>
    <row r="19" hidden="1">
      <c r="A19" s="3" t="inlineStr">
        <is>
          <t>FastDPE</t>
        </is>
      </c>
      <c r="B19" s="3" t="n"/>
      <c r="C19" s="3" t="inlineStr">
        <is>
          <t>cdrLen</t>
        </is>
      </c>
      <c r="D19" s="3" t="inlineStr">
        <is>
          <t>FastDPE Total CDR length-transformed</t>
        </is>
      </c>
      <c r="E19" s="3" t="inlineStr">
        <is>
          <t>Titer</t>
        </is>
      </c>
      <c r="F19" s="3">
        <f>A19&amp;"|"&amp;B19&amp;"|"&amp;C19&amp;"|"&amp;D19&amp;"|"&amp;E19</f>
        <v/>
      </c>
      <c r="G19" s="3">
        <f>COUNTIF($F$2:$F$191,F19)</f>
        <v/>
      </c>
      <c r="H19" s="3" t="n">
        <v>0.092</v>
      </c>
      <c r="I19" s="3">
        <f>_xlfn.MINIFS($H$2:$H$191,$F$2:$F$191,F19)</f>
        <v/>
      </c>
      <c r="J19" s="3">
        <f>_xlfn.MAXIFS($H$2:$H$191,$F$2:$F$191,F19)</f>
        <v/>
      </c>
      <c r="K19" s="3">
        <f>IF(G19=1,"",IF(I19=J19,"EXACT_DUP","MISMATCH"))</f>
        <v/>
      </c>
      <c r="L19" s="3" t="inlineStr">
        <is>
          <t>***</t>
        </is>
      </c>
      <c r="M19" s="3" t="n">
        <v>4671</v>
      </c>
      <c r="N19" s="3" t="n">
        <v>0.452</v>
      </c>
      <c r="O19" s="3" t="n">
        <v>0.297</v>
      </c>
      <c r="P19" s="3" t="n">
        <v>0.278</v>
      </c>
      <c r="Q19" s="3" t="n">
        <v>0.252</v>
      </c>
      <c r="R19" s="3" t="n">
        <v>0.397</v>
      </c>
      <c r="S19" s="3" t="n"/>
      <c r="T19" s="3" t="inlineStr">
        <is>
          <t>transformed (benchmark-derived)</t>
        </is>
      </c>
      <c r="U19" s="3" t="inlineStr">
        <is>
          <t>1.0</t>
        </is>
      </c>
      <c r="V19" s="3" t="inlineStr">
        <is>
          <t>BSD 3-Clause License</t>
        </is>
      </c>
      <c r="W19" s="3" t="n">
        <v>658</v>
      </c>
      <c r="X19" s="3" t="n">
        <v>-0.298</v>
      </c>
      <c r="Y19" s="3" t="n">
        <v>3259</v>
      </c>
      <c r="Z19" s="3" t="n">
        <v>-0.077</v>
      </c>
      <c r="AA19" s="3" t="n">
        <v>290</v>
      </c>
      <c r="AB19" s="3" t="n">
        <v>0.433</v>
      </c>
      <c r="AC19" s="3" t="n">
        <v>464</v>
      </c>
      <c r="AD19" s="3" t="n">
        <v>-0.029</v>
      </c>
    </row>
    <row r="20" hidden="1">
      <c r="A20" s="3" t="inlineStr">
        <is>
          <t>TNP</t>
        </is>
      </c>
      <c r="B20" s="3" t="inlineStr">
        <is>
          <t>"hscale": 0=Kyte and Doolittle</t>
        </is>
      </c>
      <c r="C20" s="3" t="inlineStr">
        <is>
          <t>CDR3_compactness</t>
        </is>
      </c>
      <c r="D20" s="3" t="inlineStr">
        <is>
          <t>TNP CDR3 Compactness-transformed</t>
        </is>
      </c>
      <c r="E20" s="3" t="inlineStr">
        <is>
          <t>Aggregation (Polydispersity idx)</t>
        </is>
      </c>
      <c r="F20" s="3">
        <f>A20&amp;"|"&amp;B20&amp;"|"&amp;C20&amp;"|"&amp;D20&amp;"|"&amp;E20</f>
        <v/>
      </c>
      <c r="G20" s="3">
        <f>COUNTIF($F$2:$F$191,F20)</f>
        <v/>
      </c>
      <c r="H20" s="3" t="n">
        <v>0.004</v>
      </c>
      <c r="I20" s="3">
        <f>_xlfn.MINIFS($H$2:$H$191,$F$2:$F$191,F20)</f>
        <v/>
      </c>
      <c r="J20" s="3">
        <f>_xlfn.MAXIFS($H$2:$H$191,$F$2:$F$191,F20)</f>
        <v/>
      </c>
      <c r="K20" s="3">
        <f>IF(G20=1,"",IF(I20=J20,"EXACT_DUP","MISMATCH"))</f>
        <v/>
      </c>
      <c r="L20" s="3" t="n"/>
      <c r="M20" s="3" t="n">
        <v>1287</v>
      </c>
      <c r="N20" s="3" t="n">
        <v>0.5</v>
      </c>
      <c r="O20" s="3" t="n">
        <v>0.766</v>
      </c>
      <c r="P20" s="3" t="n">
        <v>0.738</v>
      </c>
      <c r="Q20" s="3" t="n">
        <v>0.6919999999999999</v>
      </c>
      <c r="R20" s="3" t="n">
        <v>0.846</v>
      </c>
      <c r="S20" s="3" t="n"/>
      <c r="T20" s="3" t="inlineStr">
        <is>
          <t>transformed (benchmark-derived)</t>
        </is>
      </c>
      <c r="U20" s="3" t="inlineStr">
        <is>
          <t>1.0</t>
        </is>
      </c>
      <c r="V20" s="3" t="inlineStr">
        <is>
          <t>BSD 3-Clause License</t>
        </is>
      </c>
      <c r="W20" s="3" t="n">
        <v>313</v>
      </c>
      <c r="X20" s="3" t="n">
        <v>-0.247</v>
      </c>
      <c r="Y20" s="3" t="n">
        <v>720</v>
      </c>
      <c r="Z20" s="3" t="n">
        <v>0.023</v>
      </c>
      <c r="AA20" s="3" t="n">
        <v>120</v>
      </c>
      <c r="AB20" s="3" t="n">
        <v>0.044</v>
      </c>
      <c r="AC20" s="3" t="n">
        <v>134</v>
      </c>
      <c r="AD20" s="3" t="n">
        <v>-0.028</v>
      </c>
    </row>
    <row r="21" hidden="1">
      <c r="A21" s="3" t="inlineStr">
        <is>
          <t>TNP</t>
        </is>
      </c>
      <c r="B21" s="3" t="inlineStr">
        <is>
          <t>"hscale": 0=Kyte and Doolittle</t>
        </is>
      </c>
      <c r="C21" s="3" t="inlineStr">
        <is>
          <t>CDR3_compactness</t>
        </is>
      </c>
      <c r="D21" s="3" t="inlineStr">
        <is>
          <t>TNP CDR3 Compactness</t>
        </is>
      </c>
      <c r="E21" s="3" t="inlineStr">
        <is>
          <t>Aggregation (Polydispersity idx)</t>
        </is>
      </c>
      <c r="F21" s="3">
        <f>A21&amp;"|"&amp;B21&amp;"|"&amp;C21&amp;"|"&amp;D21&amp;"|"&amp;E21</f>
        <v/>
      </c>
      <c r="G21" s="3">
        <f>COUNTIF($F$2:$F$191,F21)</f>
        <v/>
      </c>
      <c r="H21" s="3" t="n">
        <v>0.003</v>
      </c>
      <c r="I21" s="3">
        <f>_xlfn.MINIFS($H$2:$H$191,$F$2:$F$191,F21)</f>
        <v/>
      </c>
      <c r="J21" s="3">
        <f>_xlfn.MAXIFS($H$2:$H$191,$F$2:$F$191,F21)</f>
        <v/>
      </c>
      <c r="K21" s="3">
        <f>IF(G21=1,"",IF(I21=J21,"EXACT_DUP","MISMATCH"))</f>
        <v/>
      </c>
      <c r="L21" s="3" t="n"/>
      <c r="M21" s="3" t="n">
        <v>1287</v>
      </c>
      <c r="N21" s="3" t="n">
        <v>0.55</v>
      </c>
      <c r="O21" s="3" t="n">
        <v>0.801</v>
      </c>
      <c r="P21" s="3" t="n">
        <v>0.892</v>
      </c>
      <c r="Q21" s="3" t="n">
        <v>0.677</v>
      </c>
      <c r="R21" s="3" t="n">
        <v>0.862</v>
      </c>
      <c r="S21" s="3" t="n"/>
      <c r="T21" s="3" t="inlineStr">
        <is>
          <t>transformed (benchmark-derived)</t>
        </is>
      </c>
      <c r="U21" s="3" t="inlineStr">
        <is>
          <t>1.0</t>
        </is>
      </c>
      <c r="V21" s="3" t="inlineStr">
        <is>
          <t>BSD 3-Clause License</t>
        </is>
      </c>
      <c r="W21" s="3" t="n">
        <v>313</v>
      </c>
      <c r="X21" s="3" t="n">
        <v>-0.35</v>
      </c>
      <c r="Y21" s="3" t="n">
        <v>720</v>
      </c>
      <c r="Z21" s="3" t="n">
        <v>-0.004</v>
      </c>
      <c r="AA21" s="3" t="n">
        <v>120</v>
      </c>
      <c r="AB21" s="3" t="n">
        <v>-0.184</v>
      </c>
      <c r="AC21" s="3" t="n">
        <v>134</v>
      </c>
      <c r="AD21" s="3" t="n">
        <v>0.025</v>
      </c>
    </row>
    <row r="22" hidden="1">
      <c r="A22" s="3" t="inlineStr">
        <is>
          <t>TNP</t>
        </is>
      </c>
      <c r="B22" s="3" t="inlineStr">
        <is>
          <t>"hscale": 0=Kyte and Doolittle</t>
        </is>
      </c>
      <c r="C22" s="3" t="inlineStr">
        <is>
          <t>CDR3_compactness</t>
        </is>
      </c>
      <c r="D22" s="3" t="inlineStr">
        <is>
          <t>TNP CDR3 Compactness-transformed</t>
        </is>
      </c>
      <c r="E22" s="3" t="inlineStr">
        <is>
          <t>Analytical Size Exclusion Chromatography</t>
        </is>
      </c>
      <c r="F22" s="3">
        <f>A22&amp;"|"&amp;B22&amp;"|"&amp;C22&amp;"|"&amp;D22&amp;"|"&amp;E22</f>
        <v/>
      </c>
      <c r="G22" s="3">
        <f>COUNTIF($F$2:$F$191,F22)</f>
        <v/>
      </c>
      <c r="H22" s="3" t="n">
        <v>0.162</v>
      </c>
      <c r="I22" s="3">
        <f>_xlfn.MINIFS($H$2:$H$191,$F$2:$F$191,F22)</f>
        <v/>
      </c>
      <c r="J22" s="3">
        <f>_xlfn.MAXIFS($H$2:$H$191,$F$2:$F$191,F22)</f>
        <v/>
      </c>
      <c r="K22" s="3">
        <f>IF(G22=1,"",IF(I22=J22,"EXACT_DUP","MISMATCH"))</f>
        <v/>
      </c>
      <c r="L22" s="3" t="inlineStr">
        <is>
          <t>***</t>
        </is>
      </c>
      <c r="M22" s="3" t="n">
        <v>1447</v>
      </c>
      <c r="N22" s="3" t="n">
        <v>0.43</v>
      </c>
      <c r="O22" s="3" t="n">
        <v>0.545</v>
      </c>
      <c r="P22" s="3" t="n">
        <v>0.466</v>
      </c>
      <c r="Q22" s="3" t="n">
        <v>0.52</v>
      </c>
      <c r="R22" s="3" t="n">
        <v>0.6850000000000001</v>
      </c>
      <c r="S22" s="3" t="n"/>
      <c r="T22" s="3" t="inlineStr">
        <is>
          <t>transformed (benchmark-derived)</t>
        </is>
      </c>
      <c r="U22" s="3" t="inlineStr">
        <is>
          <t>1.0</t>
        </is>
      </c>
      <c r="V22" s="3" t="inlineStr">
        <is>
          <t>BSD 3-Clause License</t>
        </is>
      </c>
      <c r="W22" s="3" t="n">
        <v>336</v>
      </c>
      <c r="X22" s="3" t="n">
        <v>0.129</v>
      </c>
      <c r="Y22" s="3" t="n">
        <v>823</v>
      </c>
      <c r="Z22" s="3" t="n">
        <v>0.077</v>
      </c>
      <c r="AA22" s="3" t="n">
        <v>137</v>
      </c>
      <c r="AB22" s="3" t="n">
        <v>-0.053</v>
      </c>
      <c r="AC22" s="3" t="n">
        <v>151</v>
      </c>
      <c r="AD22" s="3" t="n">
        <v>-0.357</v>
      </c>
    </row>
    <row r="23" hidden="1">
      <c r="A23" s="3" t="inlineStr">
        <is>
          <t>TNP</t>
        </is>
      </c>
      <c r="B23" s="3" t="inlineStr">
        <is>
          <t>"hscale": 0=Kyte and Doolittle</t>
        </is>
      </c>
      <c r="C23" s="3" t="inlineStr">
        <is>
          <t>CDR3_compactness</t>
        </is>
      </c>
      <c r="D23" s="3" t="inlineStr">
        <is>
          <t>TNP CDR3 Compactness</t>
        </is>
      </c>
      <c r="E23" s="3" t="inlineStr">
        <is>
          <t>Analytical Size Exclusion Chromatography</t>
        </is>
      </c>
      <c r="F23" s="3">
        <f>A23&amp;"|"&amp;B23&amp;"|"&amp;C23&amp;"|"&amp;D23&amp;"|"&amp;E23</f>
        <v/>
      </c>
      <c r="G23" s="3">
        <f>COUNTIF($F$2:$F$191,F23)</f>
        <v/>
      </c>
      <c r="H23" s="3" t="n">
        <v>0.061</v>
      </c>
      <c r="I23" s="3">
        <f>_xlfn.MINIFS($H$2:$H$191,$F$2:$F$191,F23)</f>
        <v/>
      </c>
      <c r="J23" s="3">
        <f>_xlfn.MAXIFS($H$2:$H$191,$F$2:$F$191,F23)</f>
        <v/>
      </c>
      <c r="K23" s="3">
        <f>IF(G23=1,"",IF(I23=J23,"EXACT_DUP","MISMATCH"))</f>
        <v/>
      </c>
      <c r="L23" s="3" t="inlineStr">
        <is>
          <t>*</t>
        </is>
      </c>
      <c r="M23" s="3" t="n">
        <v>1447</v>
      </c>
      <c r="N23" s="3" t="n">
        <v>0.49</v>
      </c>
      <c r="O23" s="3" t="n">
        <v>0.601</v>
      </c>
      <c r="P23" s="3" t="n">
        <v>0.5620000000000001</v>
      </c>
      <c r="Q23" s="3" t="n">
        <v>0.507</v>
      </c>
      <c r="R23" s="3" t="n">
        <v>0.699</v>
      </c>
      <c r="S23" s="3" t="n"/>
      <c r="T23" s="3" t="inlineStr">
        <is>
          <t>transformed (benchmark-derived)</t>
        </is>
      </c>
      <c r="U23" s="3" t="inlineStr">
        <is>
          <t>1.0</t>
        </is>
      </c>
      <c r="V23" s="3" t="inlineStr">
        <is>
          <t>BSD 3-Clause License</t>
        </is>
      </c>
      <c r="W23" s="3" t="n">
        <v>336</v>
      </c>
      <c r="X23" s="3" t="n">
        <v>0.253</v>
      </c>
      <c r="Y23" s="3" t="n">
        <v>823</v>
      </c>
      <c r="Z23" s="3" t="n">
        <v>-0.042</v>
      </c>
      <c r="AA23" s="3" t="n">
        <v>137</v>
      </c>
      <c r="AB23" s="3" t="n">
        <v>0.058</v>
      </c>
      <c r="AC23" s="3" t="n">
        <v>151</v>
      </c>
      <c r="AD23" s="3" t="n">
        <v>0.357</v>
      </c>
    </row>
    <row r="24" hidden="1">
      <c r="A24" s="3" t="inlineStr">
        <is>
          <t>TNP</t>
        </is>
      </c>
      <c r="B24" s="3" t="inlineStr">
        <is>
          <t>"hscale": 0=Kyte and Doolittle</t>
        </is>
      </c>
      <c r="C24" s="3" t="inlineStr">
        <is>
          <t>CDR3_compactness</t>
        </is>
      </c>
      <c r="D24" s="3" t="inlineStr">
        <is>
          <t>TNP CDR3 Compactness</t>
        </is>
      </c>
      <c r="E24" s="3" t="inlineStr">
        <is>
          <t>Hydrophobicity</t>
        </is>
      </c>
      <c r="F24" s="3">
        <f>A24&amp;"|"&amp;B24&amp;"|"&amp;C24&amp;"|"&amp;D24&amp;"|"&amp;E24</f>
        <v/>
      </c>
      <c r="G24" s="3">
        <f>COUNTIF($F$2:$F$191,F24)</f>
        <v/>
      </c>
      <c r="H24" s="3" t="n">
        <v>-0.122</v>
      </c>
      <c r="I24" s="3">
        <f>_xlfn.MINIFS($H$2:$H$191,$F$2:$F$191,F24)</f>
        <v/>
      </c>
      <c r="J24" s="3">
        <f>_xlfn.MAXIFS($H$2:$H$191,$F$2:$F$191,F24)</f>
        <v/>
      </c>
      <c r="K24" s="3">
        <f>IF(G24=1,"",IF(I24=J24,"EXACT_DUP","MISMATCH"))</f>
        <v/>
      </c>
      <c r="L24" s="3" t="inlineStr">
        <is>
          <t>***</t>
        </is>
      </c>
      <c r="M24" s="3" t="n">
        <v>1294</v>
      </c>
      <c r="N24" s="3" t="n"/>
      <c r="O24" s="3" t="n"/>
      <c r="P24" s="3" t="n"/>
      <c r="Q24" s="3" t="n"/>
      <c r="R24" s="3" t="n"/>
      <c r="S24" s="3" t="n"/>
      <c r="T24" s="3" t="inlineStr">
        <is>
          <t>transformed (benchmark-derived)</t>
        </is>
      </c>
      <c r="U24" s="3" t="inlineStr">
        <is>
          <t>1.0</t>
        </is>
      </c>
      <c r="V24" s="3" t="inlineStr">
        <is>
          <t>BSD 3-Clause License</t>
        </is>
      </c>
      <c r="W24" s="3" t="n">
        <v>314</v>
      </c>
      <c r="X24" s="3" t="n">
        <v>-0.08</v>
      </c>
      <c r="Y24" s="3" t="n">
        <v>723</v>
      </c>
      <c r="Z24" s="3" t="n">
        <v>-0.056</v>
      </c>
      <c r="AA24" s="3" t="n">
        <v>122</v>
      </c>
      <c r="AB24" s="3" t="n">
        <v>-0.203</v>
      </c>
      <c r="AC24" s="3" t="n">
        <v>135</v>
      </c>
      <c r="AD24" s="3" t="n">
        <v>-0.041</v>
      </c>
    </row>
    <row r="25" hidden="1">
      <c r="A25" s="3" t="inlineStr">
        <is>
          <t>TNP</t>
        </is>
      </c>
      <c r="B25" s="3" t="inlineStr">
        <is>
          <t>"hscale": 0=Kyte and Doolittle</t>
        </is>
      </c>
      <c r="C25" s="3" t="inlineStr">
        <is>
          <t>CDR3_compactness</t>
        </is>
      </c>
      <c r="D25" s="3" t="inlineStr">
        <is>
          <t>TNP CDR3 Compactness-transformed</t>
        </is>
      </c>
      <c r="E25" s="3" t="inlineStr">
        <is>
          <t>Hydrophobicity</t>
        </is>
      </c>
      <c r="F25" s="3">
        <f>A25&amp;"|"&amp;B25&amp;"|"&amp;C25&amp;"|"&amp;D25&amp;"|"&amp;E25</f>
        <v/>
      </c>
      <c r="G25" s="3">
        <f>COUNTIF($F$2:$F$191,F25)</f>
        <v/>
      </c>
      <c r="H25" s="3" t="n">
        <v>0.08500000000000001</v>
      </c>
      <c r="I25" s="3">
        <f>_xlfn.MINIFS($H$2:$H$191,$F$2:$F$191,F25)</f>
        <v/>
      </c>
      <c r="J25" s="3">
        <f>_xlfn.MAXIFS($H$2:$H$191,$F$2:$F$191,F25)</f>
        <v/>
      </c>
      <c r="K25" s="3">
        <f>IF(G25=1,"",IF(I25=J25,"EXACT_DUP","MISMATCH"))</f>
        <v/>
      </c>
      <c r="L25" s="3" t="inlineStr">
        <is>
          <t>**</t>
        </is>
      </c>
      <c r="M25" s="3" t="n">
        <v>1294</v>
      </c>
      <c r="N25" s="3" t="n"/>
      <c r="O25" s="3" t="n"/>
      <c r="P25" s="3" t="n"/>
      <c r="Q25" s="3" t="n"/>
      <c r="R25" s="3" t="n"/>
      <c r="S25" s="3" t="n"/>
      <c r="T25" s="3" t="inlineStr">
        <is>
          <t>transformed (benchmark-derived)</t>
        </is>
      </c>
      <c r="U25" s="3" t="inlineStr">
        <is>
          <t>1.0</t>
        </is>
      </c>
      <c r="V25" s="3" t="inlineStr">
        <is>
          <t>BSD 3-Clause License</t>
        </is>
      </c>
      <c r="W25" s="3" t="n">
        <v>314</v>
      </c>
      <c r="X25" s="3" t="n">
        <v>0.157</v>
      </c>
      <c r="Y25" s="3" t="n">
        <v>723</v>
      </c>
      <c r="Z25" s="3" t="n">
        <v>-0.095</v>
      </c>
      <c r="AA25" s="3" t="n">
        <v>122</v>
      </c>
      <c r="AB25" s="3" t="n">
        <v>0.124</v>
      </c>
      <c r="AC25" s="3" t="n">
        <v>135</v>
      </c>
      <c r="AD25" s="3" t="n">
        <v>0.041</v>
      </c>
    </row>
    <row r="26" hidden="1">
      <c r="A26" s="3" t="inlineStr">
        <is>
          <t>TNP</t>
        </is>
      </c>
      <c r="B26" s="3" t="inlineStr">
        <is>
          <t>"hscale": 0=Kyte and Doolittle</t>
        </is>
      </c>
      <c r="C26" s="3" t="inlineStr">
        <is>
          <t>CDR3_compactness</t>
        </is>
      </c>
      <c r="D26" s="3" t="inlineStr">
        <is>
          <t>TNP CDR3 Compactness</t>
        </is>
      </c>
      <c r="E26" s="3" t="inlineStr">
        <is>
          <t>Polyreactivity (absorbance)</t>
        </is>
      </c>
      <c r="F26" s="3">
        <f>A26&amp;"|"&amp;B26&amp;"|"&amp;C26&amp;"|"&amp;D26&amp;"|"&amp;E26</f>
        <v/>
      </c>
      <c r="G26" s="3">
        <f>COUNTIF($F$2:$F$191,F26)</f>
        <v/>
      </c>
      <c r="H26" s="3" t="n">
        <v>0.135</v>
      </c>
      <c r="I26" s="3">
        <f>_xlfn.MINIFS($H$2:$H$191,$F$2:$F$191,F26)</f>
        <v/>
      </c>
      <c r="J26" s="3">
        <f>_xlfn.MAXIFS($H$2:$H$191,$F$2:$F$191,F26)</f>
        <v/>
      </c>
      <c r="K26" s="3">
        <f>IF(G26=1,"",IF(I26=J26,"EXACT_DUP","MISMATCH"))</f>
        <v/>
      </c>
      <c r="L26" s="3" t="inlineStr">
        <is>
          <t>***</t>
        </is>
      </c>
      <c r="M26" s="3" t="n">
        <v>1294</v>
      </c>
      <c r="N26" s="3" t="n">
        <v>0.434</v>
      </c>
      <c r="O26" s="3" t="n">
        <v>0.627</v>
      </c>
      <c r="P26" s="3" t="n">
        <v>0.385</v>
      </c>
      <c r="Q26" s="3" t="n">
        <v>0.6</v>
      </c>
      <c r="R26" s="3" t="n">
        <v>0.785</v>
      </c>
      <c r="S26" s="3" t="n"/>
      <c r="T26" s="3" t="inlineStr">
        <is>
          <t>transformed (benchmark-derived)</t>
        </is>
      </c>
      <c r="U26" s="3" t="inlineStr">
        <is>
          <t>1.0</t>
        </is>
      </c>
      <c r="V26" s="3" t="inlineStr">
        <is>
          <t>BSD 3-Clause License</t>
        </is>
      </c>
      <c r="W26" s="3" t="n">
        <v>314</v>
      </c>
      <c r="X26" s="3" t="n">
        <v>0.208</v>
      </c>
      <c r="Y26" s="3" t="n">
        <v>723</v>
      </c>
      <c r="Z26" s="3" t="n">
        <v>0.032</v>
      </c>
      <c r="AA26" s="3" t="n">
        <v>122</v>
      </c>
      <c r="AB26" s="3" t="n">
        <v>-0.052</v>
      </c>
      <c r="AC26" s="3" t="n">
        <v>135</v>
      </c>
      <c r="AD26" s="3" t="n">
        <v>-0.28</v>
      </c>
    </row>
    <row r="27" hidden="1">
      <c r="A27" s="3" t="inlineStr">
        <is>
          <t>TNP</t>
        </is>
      </c>
      <c r="B27" s="3" t="inlineStr">
        <is>
          <t>"hscale": 0=Kyte and Doolittle</t>
        </is>
      </c>
      <c r="C27" s="3" t="inlineStr">
        <is>
          <t>CDR3_compactness</t>
        </is>
      </c>
      <c r="D27" s="3" t="inlineStr">
        <is>
          <t>TNP CDR3 Compactness-transformed</t>
        </is>
      </c>
      <c r="E27" s="3" t="inlineStr">
        <is>
          <t>Polyreactivity (absorbance)</t>
        </is>
      </c>
      <c r="F27" s="3">
        <f>A27&amp;"|"&amp;B27&amp;"|"&amp;C27&amp;"|"&amp;D27&amp;"|"&amp;E27</f>
        <v/>
      </c>
      <c r="G27" s="3">
        <f>COUNTIF($F$2:$F$191,F27)</f>
        <v/>
      </c>
      <c r="H27" s="3" t="n">
        <v>0.026</v>
      </c>
      <c r="I27" s="3">
        <f>_xlfn.MINIFS($H$2:$H$191,$F$2:$F$191,F27)</f>
        <v/>
      </c>
      <c r="J27" s="3">
        <f>_xlfn.MAXIFS($H$2:$H$191,$F$2:$F$191,F27)</f>
        <v/>
      </c>
      <c r="K27" s="3">
        <f>IF(G27=1,"",IF(I27=J27,"EXACT_DUP","MISMATCH"))</f>
        <v/>
      </c>
      <c r="L27" s="3" t="n"/>
      <c r="M27" s="3" t="n">
        <v>1294</v>
      </c>
      <c r="N27" s="3" t="n">
        <v>0.479</v>
      </c>
      <c r="O27" s="3" t="n">
        <v>0.677</v>
      </c>
      <c r="P27" s="3" t="n">
        <v>0.646</v>
      </c>
      <c r="Q27" s="3" t="n">
        <v>0.585</v>
      </c>
      <c r="R27" s="3" t="n">
        <v>0.785</v>
      </c>
      <c r="S27" s="3" t="n"/>
      <c r="T27" s="3" t="inlineStr">
        <is>
          <t>transformed (benchmark-derived)</t>
        </is>
      </c>
      <c r="U27" s="3" t="inlineStr">
        <is>
          <t>1.0</t>
        </is>
      </c>
      <c r="V27" s="3" t="inlineStr">
        <is>
          <t>BSD 3-Clause License</t>
        </is>
      </c>
      <c r="W27" s="3" t="n">
        <v>314</v>
      </c>
      <c r="X27" s="3" t="n">
        <v>-0.038</v>
      </c>
      <c r="Y27" s="3" t="n">
        <v>723</v>
      </c>
      <c r="Z27" s="3" t="n">
        <v>0.11</v>
      </c>
      <c r="AA27" s="3" t="n">
        <v>122</v>
      </c>
      <c r="AB27" s="3" t="n">
        <v>-0.039</v>
      </c>
      <c r="AC27" s="3" t="n">
        <v>135</v>
      </c>
      <c r="AD27" s="3" t="n">
        <v>0.278</v>
      </c>
    </row>
    <row r="28" hidden="1">
      <c r="A28" s="3" t="inlineStr">
        <is>
          <t>TNP</t>
        </is>
      </c>
      <c r="B28" s="3" t="inlineStr">
        <is>
          <t>"hscale": 0=Kyte and Doolittle</t>
        </is>
      </c>
      <c r="C28" s="3" t="inlineStr">
        <is>
          <t>CDR3_compactness</t>
        </is>
      </c>
      <c r="D28" s="3" t="inlineStr">
        <is>
          <t>TNP CDR3 Compactness</t>
        </is>
      </c>
      <c r="E28" s="3" t="inlineStr">
        <is>
          <t>Thermostability (Tm1)</t>
        </is>
      </c>
      <c r="F28" s="3">
        <f>A28&amp;"|"&amp;B28&amp;"|"&amp;C28&amp;"|"&amp;D28&amp;"|"&amp;E28</f>
        <v/>
      </c>
      <c r="G28" s="3">
        <f>COUNTIF($F$2:$F$191,F28)</f>
        <v/>
      </c>
      <c r="H28" s="3" t="n">
        <v>-0.114</v>
      </c>
      <c r="I28" s="3">
        <f>_xlfn.MINIFS($H$2:$H$191,$F$2:$F$191,F28)</f>
        <v/>
      </c>
      <c r="J28" s="3">
        <f>_xlfn.MAXIFS($H$2:$H$191,$F$2:$F$191,F28)</f>
        <v/>
      </c>
      <c r="K28" s="3">
        <f>IF(G28=1,"",IF(I28=J28,"EXACT_DUP","MISMATCH"))</f>
        <v/>
      </c>
      <c r="L28" s="3" t="inlineStr">
        <is>
          <t>***</t>
        </is>
      </c>
      <c r="M28" s="3" t="n">
        <v>1406</v>
      </c>
      <c r="N28" s="3" t="n">
        <v>0.538</v>
      </c>
      <c r="O28" s="3" t="n">
        <v>0.583</v>
      </c>
      <c r="P28" s="3" t="n">
        <v>0.437</v>
      </c>
      <c r="Q28" s="3" t="n">
        <v>0.493</v>
      </c>
      <c r="R28" s="3" t="n">
        <v>0.663</v>
      </c>
      <c r="S28" s="3" t="n"/>
      <c r="T28" s="3" t="inlineStr">
        <is>
          <t>transformed (benchmark-derived)</t>
        </is>
      </c>
      <c r="U28" s="3" t="inlineStr">
        <is>
          <t>1.0</t>
        </is>
      </c>
      <c r="V28" s="3" t="inlineStr">
        <is>
          <t>BSD 3-Clause License</t>
        </is>
      </c>
      <c r="W28" s="3" t="n">
        <v>305</v>
      </c>
      <c r="X28" s="3" t="n">
        <v>0.309</v>
      </c>
      <c r="Y28" s="3" t="n">
        <v>829</v>
      </c>
      <c r="Z28" s="3" t="n">
        <v>-0.118</v>
      </c>
      <c r="AA28" s="3" t="n">
        <v>129</v>
      </c>
      <c r="AB28" s="3" t="n">
        <v>0.142</v>
      </c>
      <c r="AC28" s="3" t="n">
        <v>143</v>
      </c>
      <c r="AD28" s="3" t="n">
        <v>-0.129</v>
      </c>
    </row>
    <row r="29" hidden="1">
      <c r="A29" s="3" t="inlineStr">
        <is>
          <t>TNP</t>
        </is>
      </c>
      <c r="B29" s="3" t="inlineStr">
        <is>
          <t>"hscale": 0=Kyte and Doolittle</t>
        </is>
      </c>
      <c r="C29" s="3" t="inlineStr">
        <is>
          <t>CDR3_compactness</t>
        </is>
      </c>
      <c r="D29" s="3" t="inlineStr">
        <is>
          <t>TNP CDR3 Compactness-transformed</t>
        </is>
      </c>
      <c r="E29" s="3" t="inlineStr">
        <is>
          <t>Thermostability (Tm1)</t>
        </is>
      </c>
      <c r="F29" s="3">
        <f>A29&amp;"|"&amp;B29&amp;"|"&amp;C29&amp;"|"&amp;D29&amp;"|"&amp;E29</f>
        <v/>
      </c>
      <c r="G29" s="3">
        <f>COUNTIF($F$2:$F$191,F29)</f>
        <v/>
      </c>
      <c r="H29" s="3" t="n">
        <v>-0.007</v>
      </c>
      <c r="I29" s="3">
        <f>_xlfn.MINIFS($H$2:$H$191,$F$2:$F$191,F29)</f>
        <v/>
      </c>
      <c r="J29" s="3">
        <f>_xlfn.MAXIFS($H$2:$H$191,$F$2:$F$191,F29)</f>
        <v/>
      </c>
      <c r="K29" s="3">
        <f>IF(G29=1,"",IF(I29=J29,"EXACT_DUP","MISMATCH"))</f>
        <v/>
      </c>
      <c r="L29" s="3" t="n"/>
      <c r="M29" s="3" t="n">
        <v>1406</v>
      </c>
      <c r="N29" s="3" t="n">
        <v>0.502</v>
      </c>
      <c r="O29" s="3" t="n">
        <v>0.547</v>
      </c>
      <c r="P29" s="3" t="n">
        <v>0.296</v>
      </c>
      <c r="Q29" s="3" t="n">
        <v>0.478</v>
      </c>
      <c r="R29" s="3" t="n">
        <v>0.677</v>
      </c>
      <c r="S29" s="3" t="n"/>
      <c r="T29" s="3" t="inlineStr">
        <is>
          <t>transformed (benchmark-derived)</t>
        </is>
      </c>
      <c r="U29" s="3" t="inlineStr">
        <is>
          <t>1.0</t>
        </is>
      </c>
      <c r="V29" s="3" t="inlineStr">
        <is>
          <t>BSD 3-Clause License</t>
        </is>
      </c>
      <c r="W29" s="3" t="n">
        <v>305</v>
      </c>
      <c r="X29" s="3" t="n">
        <v>-0.147</v>
      </c>
      <c r="Y29" s="3" t="n">
        <v>829</v>
      </c>
      <c r="Z29" s="3" t="n">
        <v>0.034</v>
      </c>
      <c r="AA29" s="3" t="n">
        <v>129</v>
      </c>
      <c r="AB29" s="3" t="n">
        <v>0.018</v>
      </c>
      <c r="AC29" s="3" t="n">
        <v>143</v>
      </c>
      <c r="AD29" s="3" t="n">
        <v>0.131</v>
      </c>
    </row>
    <row r="30" hidden="1">
      <c r="A30" s="3" t="inlineStr">
        <is>
          <t>TNP</t>
        </is>
      </c>
      <c r="B30" s="3" t="inlineStr">
        <is>
          <t>"hscale": 0=Kyte and Doolittle</t>
        </is>
      </c>
      <c r="C30" s="3" t="inlineStr">
        <is>
          <t>CDR3_compactness</t>
        </is>
      </c>
      <c r="D30" s="3" t="inlineStr">
        <is>
          <t>TNP CDR3 Compactness-transformed</t>
        </is>
      </c>
      <c r="E30" s="3" t="inlineStr">
        <is>
          <t>Thermostability (Tm2)</t>
        </is>
      </c>
      <c r="F30" s="3">
        <f>A30&amp;"|"&amp;B30&amp;"|"&amp;C30&amp;"|"&amp;D30&amp;"|"&amp;E30</f>
        <v/>
      </c>
      <c r="G30" s="3">
        <f>COUNTIF($F$2:$F$191,F30)</f>
        <v/>
      </c>
      <c r="H30" s="3" t="n">
        <v>-0.027</v>
      </c>
      <c r="I30" s="3">
        <f>_xlfn.MINIFS($H$2:$H$191,$F$2:$F$191,F30)</f>
        <v/>
      </c>
      <c r="J30" s="3">
        <f>_xlfn.MAXIFS($H$2:$H$191,$F$2:$F$191,F30)</f>
        <v/>
      </c>
      <c r="K30" s="3">
        <f>IF(G30=1,"",IF(I30=J30,"EXACT_DUP","MISMATCH"))</f>
        <v/>
      </c>
      <c r="L30" s="3" t="n"/>
      <c r="M30" s="3" t="n">
        <v>1094</v>
      </c>
      <c r="N30" s="3" t="n">
        <v>0.503</v>
      </c>
      <c r="O30" s="3" t="n">
        <v>0.621</v>
      </c>
      <c r="P30" s="3" t="n">
        <v>0.436</v>
      </c>
      <c r="Q30" s="3" t="n">
        <v>0.526</v>
      </c>
      <c r="R30" s="3" t="n">
        <v>0.727</v>
      </c>
      <c r="S30" s="3" t="n"/>
      <c r="T30" s="3" t="inlineStr">
        <is>
          <t>transformed (benchmark-derived)</t>
        </is>
      </c>
      <c r="U30" s="3" t="inlineStr">
        <is>
          <t>1.0</t>
        </is>
      </c>
      <c r="V30" s="3" t="inlineStr">
        <is>
          <t>BSD 3-Clause License</t>
        </is>
      </c>
      <c r="W30" s="3" t="n">
        <v>276</v>
      </c>
      <c r="X30" s="3" t="n">
        <v>-0.133</v>
      </c>
      <c r="Y30" s="3" t="n">
        <v>575</v>
      </c>
      <c r="Z30" s="3" t="n">
        <v>0.016</v>
      </c>
      <c r="AA30" s="3" t="n">
        <v>126</v>
      </c>
      <c r="AB30" s="3" t="n">
        <v>0.102</v>
      </c>
      <c r="AC30" s="3" t="n">
        <v>117</v>
      </c>
      <c r="AD30" s="3" t="n">
        <v>-0.08</v>
      </c>
    </row>
    <row r="31" hidden="1">
      <c r="A31" s="3" t="inlineStr">
        <is>
          <t>TNP</t>
        </is>
      </c>
      <c r="B31" s="3" t="inlineStr">
        <is>
          <t>"hscale": 0=Kyte and Doolittle</t>
        </is>
      </c>
      <c r="C31" s="3" t="inlineStr">
        <is>
          <t>CDR3_compactness</t>
        </is>
      </c>
      <c r="D31" s="3" t="inlineStr">
        <is>
          <t>TNP CDR3 Compactness</t>
        </is>
      </c>
      <c r="E31" s="3" t="inlineStr">
        <is>
          <t>Thermostability (Tm2)</t>
        </is>
      </c>
      <c r="F31" s="3">
        <f>A31&amp;"|"&amp;B31&amp;"|"&amp;C31&amp;"|"&amp;D31&amp;"|"&amp;E31</f>
        <v/>
      </c>
      <c r="G31" s="3">
        <f>COUNTIF($F$2:$F$191,F31)</f>
        <v/>
      </c>
      <c r="H31" s="3" t="n">
        <v>0.012</v>
      </c>
      <c r="I31" s="3">
        <f>_xlfn.MINIFS($H$2:$H$191,$F$2:$F$191,F31)</f>
        <v/>
      </c>
      <c r="J31" s="3">
        <f>_xlfn.MAXIFS($H$2:$H$191,$F$2:$F$191,F31)</f>
        <v/>
      </c>
      <c r="K31" s="3">
        <f>IF(G31=1,"",IF(I31=J31,"EXACT_DUP","MISMATCH"))</f>
        <v/>
      </c>
      <c r="L31" s="3" t="n"/>
      <c r="M31" s="3" t="n">
        <v>1094</v>
      </c>
      <c r="N31" s="3" t="n">
        <v>0.505</v>
      </c>
      <c r="O31" s="3" t="n">
        <v>0.632</v>
      </c>
      <c r="P31" s="3" t="n">
        <v>0.5639999999999999</v>
      </c>
      <c r="Q31" s="3" t="n">
        <v>0.545</v>
      </c>
      <c r="R31" s="3" t="n">
        <v>0.71</v>
      </c>
      <c r="S31" s="3" t="n"/>
      <c r="T31" s="3" t="inlineStr">
        <is>
          <t>transformed (benchmark-derived)</t>
        </is>
      </c>
      <c r="U31" s="3" t="inlineStr">
        <is>
          <t>1.0</t>
        </is>
      </c>
      <c r="V31" s="3" t="inlineStr">
        <is>
          <t>BSD 3-Clause License</t>
        </is>
      </c>
      <c r="W31" s="3" t="n">
        <v>276</v>
      </c>
      <c r="X31" s="3" t="n">
        <v>0.272</v>
      </c>
      <c r="Y31" s="3" t="n">
        <v>575</v>
      </c>
      <c r="Z31" s="3" t="n">
        <v>-0.064</v>
      </c>
      <c r="AA31" s="3" t="n">
        <v>126</v>
      </c>
      <c r="AB31" s="3" t="n">
        <v>0.09</v>
      </c>
      <c r="AC31" s="3" t="n">
        <v>117</v>
      </c>
      <c r="AD31" s="3" t="n">
        <v>0.079</v>
      </c>
    </row>
    <row r="32" hidden="1">
      <c r="A32" s="3" t="inlineStr">
        <is>
          <t>TNP</t>
        </is>
      </c>
      <c r="B32" s="3" t="inlineStr">
        <is>
          <t>"hscale": 0=Kyte and Doolittle</t>
        </is>
      </c>
      <c r="C32" s="3" t="inlineStr">
        <is>
          <t>CDR3_compactness</t>
        </is>
      </c>
      <c r="D32" s="3" t="inlineStr">
        <is>
          <t>TNP CDR3 Compactness</t>
        </is>
      </c>
      <c r="E32" s="3" t="inlineStr">
        <is>
          <t>Thermostability (Tm3)</t>
        </is>
      </c>
      <c r="F32" s="3">
        <f>A32&amp;"|"&amp;B32&amp;"|"&amp;C32&amp;"|"&amp;D32&amp;"|"&amp;E32</f>
        <v/>
      </c>
      <c r="G32" s="3">
        <f>COUNTIF($F$2:$F$191,F32)</f>
        <v/>
      </c>
      <c r="H32" s="3" t="n">
        <v>0.146</v>
      </c>
      <c r="I32" s="3">
        <f>_xlfn.MINIFS($H$2:$H$191,$F$2:$F$191,F32)</f>
        <v/>
      </c>
      <c r="J32" s="3">
        <f>_xlfn.MAXIFS($H$2:$H$191,$F$2:$F$191,F32)</f>
        <v/>
      </c>
      <c r="K32" s="3">
        <f>IF(G32=1,"",IF(I32=J32,"EXACT_DUP","MISMATCH"))</f>
        <v/>
      </c>
      <c r="L32" s="3" t="n"/>
      <c r="M32" s="3" t="n">
        <v>177</v>
      </c>
      <c r="N32" s="3" t="n">
        <v>0.464</v>
      </c>
      <c r="O32" s="3" t="n">
        <v>0.385</v>
      </c>
      <c r="P32" s="3" t="n">
        <v>0.222</v>
      </c>
      <c r="Q32" s="3" t="n">
        <v>0.111</v>
      </c>
      <c r="R32" s="3" t="n">
        <v>0.667</v>
      </c>
      <c r="S32" s="3" t="n"/>
      <c r="T32" s="3" t="inlineStr">
        <is>
          <t>transformed (benchmark-derived)</t>
        </is>
      </c>
      <c r="U32" s="3" t="inlineStr">
        <is>
          <t>1.0</t>
        </is>
      </c>
      <c r="V32" s="3" t="inlineStr">
        <is>
          <t>BSD 3-Clause License</t>
        </is>
      </c>
      <c r="W32" s="3" t="n">
        <v>80</v>
      </c>
      <c r="X32" s="3" t="n">
        <v>0.342</v>
      </c>
      <c r="Y32" s="3" t="n">
        <v>38</v>
      </c>
      <c r="Z32" s="3" t="n">
        <v>-0.139</v>
      </c>
      <c r="AA32" s="3" t="n">
        <v>56</v>
      </c>
      <c r="AB32" s="3" t="n">
        <v>-0.181</v>
      </c>
      <c r="AC32" s="3" t="n">
        <v>3</v>
      </c>
      <c r="AD32" s="3" t="n">
        <v>-0.5</v>
      </c>
    </row>
    <row r="33" hidden="1">
      <c r="A33" s="3" t="inlineStr">
        <is>
          <t>TNP</t>
        </is>
      </c>
      <c r="B33" s="3" t="inlineStr">
        <is>
          <t>"hscale": 0=Kyte and Doolittle</t>
        </is>
      </c>
      <c r="C33" s="3" t="inlineStr">
        <is>
          <t>CDR3_compactness</t>
        </is>
      </c>
      <c r="D33" s="3" t="inlineStr">
        <is>
          <t>TNP CDR3 Compactness-transformed</t>
        </is>
      </c>
      <c r="E33" s="3" t="inlineStr">
        <is>
          <t>Thermostability (Tm3)</t>
        </is>
      </c>
      <c r="F33" s="3">
        <f>A33&amp;"|"&amp;B33&amp;"|"&amp;C33&amp;"|"&amp;D33&amp;"|"&amp;E33</f>
        <v/>
      </c>
      <c r="G33" s="3">
        <f>COUNTIF($F$2:$F$191,F33)</f>
        <v/>
      </c>
      <c r="H33" s="3" t="n">
        <v>-0.093</v>
      </c>
      <c r="I33" s="3">
        <f>_xlfn.MINIFS($H$2:$H$191,$F$2:$F$191,F33)</f>
        <v/>
      </c>
      <c r="J33" s="3">
        <f>_xlfn.MAXIFS($H$2:$H$191,$F$2:$F$191,F33)</f>
        <v/>
      </c>
      <c r="K33" s="3">
        <f>IF(G33=1,"",IF(I33=J33,"EXACT_DUP","MISMATCH"))</f>
        <v/>
      </c>
      <c r="L33" s="3" t="n"/>
      <c r="M33" s="3" t="n">
        <v>177</v>
      </c>
      <c r="N33" s="3" t="n">
        <v>0.5639999999999999</v>
      </c>
      <c r="O33" s="3" t="n">
        <v>0.441</v>
      </c>
      <c r="P33" s="3" t="n">
        <v>0.222</v>
      </c>
      <c r="Q33" s="3" t="n">
        <v>0.222</v>
      </c>
      <c r="R33" s="3" t="n">
        <v>0.667</v>
      </c>
      <c r="S33" s="3" t="n"/>
      <c r="T33" s="3" t="inlineStr">
        <is>
          <t>transformed (benchmark-derived)</t>
        </is>
      </c>
      <c r="U33" s="3" t="inlineStr">
        <is>
          <t>1.0</t>
        </is>
      </c>
      <c r="V33" s="3" t="inlineStr">
        <is>
          <t>BSD 3-Clause License</t>
        </is>
      </c>
      <c r="W33" s="3" t="n">
        <v>80</v>
      </c>
      <c r="X33" s="3" t="n">
        <v>-0.191</v>
      </c>
      <c r="Y33" s="3" t="n">
        <v>38</v>
      </c>
      <c r="Z33" s="3" t="n">
        <v>0.075</v>
      </c>
      <c r="AA33" s="3" t="n">
        <v>56</v>
      </c>
      <c r="AB33" s="3" t="n">
        <v>0.272</v>
      </c>
      <c r="AC33" s="3" t="n">
        <v>3</v>
      </c>
      <c r="AD33" s="3" t="n">
        <v>0.5</v>
      </c>
    </row>
    <row r="34" hidden="1">
      <c r="A34" s="3" t="inlineStr">
        <is>
          <t>TNP</t>
        </is>
      </c>
      <c r="B34" s="3" t="inlineStr">
        <is>
          <t>"hscale": 0=Kyte and Doolittle</t>
        </is>
      </c>
      <c r="C34" s="3" t="inlineStr">
        <is>
          <t>CDR3_compactness</t>
        </is>
      </c>
      <c r="D34" s="3" t="inlineStr">
        <is>
          <t>TNP CDR3 Compactness</t>
        </is>
      </c>
      <c r="E34" s="3" t="inlineStr">
        <is>
          <t>Thermostability (onset)</t>
        </is>
      </c>
      <c r="F34" s="3">
        <f>A34&amp;"|"&amp;B34&amp;"|"&amp;C34&amp;"|"&amp;D34&amp;"|"&amp;E34</f>
        <v/>
      </c>
      <c r="G34" s="3">
        <f>COUNTIF($F$2:$F$191,F34)</f>
        <v/>
      </c>
      <c r="H34" s="3" t="n">
        <v>-0.096</v>
      </c>
      <c r="I34" s="3">
        <f>_xlfn.MINIFS($H$2:$H$191,$F$2:$F$191,F34)</f>
        <v/>
      </c>
      <c r="J34" s="3">
        <f>_xlfn.MAXIFS($H$2:$H$191,$F$2:$F$191,F34)</f>
        <v/>
      </c>
      <c r="K34" s="3">
        <f>IF(G34=1,"",IF(I34=J34,"EXACT_DUP","MISMATCH"))</f>
        <v/>
      </c>
      <c r="L34" s="3" t="inlineStr">
        <is>
          <t>***</t>
        </is>
      </c>
      <c r="M34" s="3" t="n">
        <v>1404</v>
      </c>
      <c r="N34" s="3" t="n">
        <v>0.547</v>
      </c>
      <c r="O34" s="3" t="n">
        <v>0.616</v>
      </c>
      <c r="P34" s="3" t="n">
        <v>0.423</v>
      </c>
      <c r="Q34" s="3" t="n">
        <v>0.521</v>
      </c>
      <c r="R34" s="3" t="n">
        <v>0.704</v>
      </c>
      <c r="S34" s="3" t="n"/>
      <c r="T34" s="3" t="inlineStr">
        <is>
          <t>transformed (benchmark-derived)</t>
        </is>
      </c>
      <c r="U34" s="3" t="inlineStr">
        <is>
          <t>1.0</t>
        </is>
      </c>
      <c r="V34" s="3" t="inlineStr">
        <is>
          <t>BSD 3-Clause License</t>
        </is>
      </c>
      <c r="W34" s="3" t="n">
        <v>305</v>
      </c>
      <c r="X34" s="3" t="n">
        <v>0.339</v>
      </c>
      <c r="Y34" s="3" t="n">
        <v>827</v>
      </c>
      <c r="Z34" s="3" t="n">
        <v>-0.076</v>
      </c>
      <c r="AA34" s="3" t="n">
        <v>129</v>
      </c>
      <c r="AB34" s="3" t="n">
        <v>0.17</v>
      </c>
      <c r="AC34" s="3" t="n">
        <v>143</v>
      </c>
      <c r="AD34" s="3" t="n">
        <v>-0.099</v>
      </c>
    </row>
    <row r="35" hidden="1">
      <c r="A35" s="3" t="inlineStr">
        <is>
          <t>TNP</t>
        </is>
      </c>
      <c r="B35" s="3" t="inlineStr">
        <is>
          <t>"hscale": 0=Kyte and Doolittle</t>
        </is>
      </c>
      <c r="C35" s="3" t="inlineStr">
        <is>
          <t>CDR3_compactness</t>
        </is>
      </c>
      <c r="D35" s="3" t="inlineStr">
        <is>
          <t>TNP CDR3 Compactness-transformed</t>
        </is>
      </c>
      <c r="E35" s="3" t="inlineStr">
        <is>
          <t>Thermostability (onset)</t>
        </is>
      </c>
      <c r="F35" s="3">
        <f>A35&amp;"|"&amp;B35&amp;"|"&amp;C35&amp;"|"&amp;D35&amp;"|"&amp;E35</f>
        <v/>
      </c>
      <c r="G35" s="3">
        <f>COUNTIF($F$2:$F$191,F35)</f>
        <v/>
      </c>
      <c r="H35" s="3" t="n">
        <v>0.005</v>
      </c>
      <c r="I35" s="3">
        <f>_xlfn.MINIFS($H$2:$H$191,$F$2:$F$191,F35)</f>
        <v/>
      </c>
      <c r="J35" s="3">
        <f>_xlfn.MAXIFS($H$2:$H$191,$F$2:$F$191,F35)</f>
        <v/>
      </c>
      <c r="K35" s="3">
        <f>IF(G35=1,"",IF(I35=J35,"EXACT_DUP","MISMATCH"))</f>
        <v/>
      </c>
      <c r="L35" s="3" t="n"/>
      <c r="M35" s="3" t="n">
        <v>1404</v>
      </c>
      <c r="N35" s="3" t="n">
        <v>0.481</v>
      </c>
      <c r="O35" s="3" t="n">
        <v>0.5679999999999999</v>
      </c>
      <c r="P35" s="3" t="n">
        <v>0.394</v>
      </c>
      <c r="Q35" s="3" t="n">
        <v>0.535</v>
      </c>
      <c r="R35" s="3" t="n">
        <v>0.705</v>
      </c>
      <c r="S35" s="3" t="n"/>
      <c r="T35" s="3" t="inlineStr">
        <is>
          <t>transformed (benchmark-derived)</t>
        </is>
      </c>
      <c r="U35" s="3" t="inlineStr">
        <is>
          <t>1.0</t>
        </is>
      </c>
      <c r="V35" s="3" t="inlineStr">
        <is>
          <t>BSD 3-Clause License</t>
        </is>
      </c>
      <c r="W35" s="3" t="n">
        <v>305</v>
      </c>
      <c r="X35" s="3" t="n">
        <v>-0.017</v>
      </c>
      <c r="Y35" s="3" t="n">
        <v>827</v>
      </c>
      <c r="Z35" s="3" t="n">
        <v>0.024</v>
      </c>
      <c r="AA35" s="3" t="n">
        <v>129</v>
      </c>
      <c r="AB35" s="3" t="n">
        <v>-0.025</v>
      </c>
      <c r="AC35" s="3" t="n">
        <v>143</v>
      </c>
      <c r="AD35" s="3" t="n">
        <v>0.101</v>
      </c>
    </row>
    <row r="36" hidden="1">
      <c r="A36" s="3" t="inlineStr">
        <is>
          <t>TNP</t>
        </is>
      </c>
      <c r="B36" s="3" t="inlineStr">
        <is>
          <t>"hscale": 0=Kyte and Doolittle</t>
        </is>
      </c>
      <c r="C36" s="3" t="inlineStr">
        <is>
          <t>CDR3_compactness</t>
        </is>
      </c>
      <c r="D36" s="3" t="inlineStr">
        <is>
          <t>TNP CDR3 Compactness</t>
        </is>
      </c>
      <c r="E36" s="3" t="inlineStr">
        <is>
          <t>Titer</t>
        </is>
      </c>
      <c r="F36" s="3">
        <f>A36&amp;"|"&amp;B36&amp;"|"&amp;C36&amp;"|"&amp;D36&amp;"|"&amp;E36</f>
        <v/>
      </c>
      <c r="G36" s="3">
        <f>COUNTIF($F$2:$F$191,F36)</f>
        <v/>
      </c>
      <c r="H36" s="3" t="n">
        <v>0.113</v>
      </c>
      <c r="I36" s="3">
        <f>_xlfn.MINIFS($H$2:$H$191,$F$2:$F$191,F36)</f>
        <v/>
      </c>
      <c r="J36" s="3">
        <f>_xlfn.MAXIFS($H$2:$H$191,$F$2:$F$191,F36)</f>
        <v/>
      </c>
      <c r="K36" s="3">
        <f>IF(G36=1,"",IF(I36=J36,"EXACT_DUP","MISMATCH"))</f>
        <v/>
      </c>
      <c r="L36" s="3" t="inlineStr">
        <is>
          <t>***</t>
        </is>
      </c>
      <c r="M36" s="3" t="n">
        <v>4062</v>
      </c>
      <c r="N36" s="3" t="n">
        <v>0.423</v>
      </c>
      <c r="O36" s="3" t="n">
        <v>0.279</v>
      </c>
      <c r="P36" s="3" t="n">
        <v>0.181</v>
      </c>
      <c r="Q36" s="3" t="n">
        <v>0.279</v>
      </c>
      <c r="R36" s="3" t="n">
        <v>0.382</v>
      </c>
      <c r="S36" s="3" t="n"/>
      <c r="T36" s="3" t="inlineStr">
        <is>
          <t>transformed (benchmark-derived)</t>
        </is>
      </c>
      <c r="U36" s="3" t="inlineStr">
        <is>
          <t>1.0</t>
        </is>
      </c>
      <c r="V36" s="3" t="inlineStr">
        <is>
          <t>BSD 3-Clause License</t>
        </is>
      </c>
      <c r="W36" s="3" t="n">
        <v>625</v>
      </c>
      <c r="X36" s="3" t="n">
        <v>0.333</v>
      </c>
      <c r="Y36" s="3" t="n">
        <v>2761</v>
      </c>
      <c r="Z36" s="3" t="n">
        <v>-0.031</v>
      </c>
      <c r="AA36" s="3" t="n">
        <v>255</v>
      </c>
      <c r="AB36" s="3" t="n">
        <v>0.577</v>
      </c>
      <c r="AC36" s="3" t="n">
        <v>421</v>
      </c>
      <c r="AD36" s="3" t="n">
        <v>-0.057</v>
      </c>
    </row>
    <row r="37" hidden="1">
      <c r="A37" s="3" t="inlineStr">
        <is>
          <t>TNP</t>
        </is>
      </c>
      <c r="B37" s="3" t="inlineStr">
        <is>
          <t>"hscale": 0=Kyte and Doolittle</t>
        </is>
      </c>
      <c r="C37" s="3" t="inlineStr">
        <is>
          <t>CDR3_compactness</t>
        </is>
      </c>
      <c r="D37" s="3" t="inlineStr">
        <is>
          <t>TNP CDR3 Compactness-transformed</t>
        </is>
      </c>
      <c r="E37" s="3" t="inlineStr">
        <is>
          <t>Titer</t>
        </is>
      </c>
      <c r="F37" s="3">
        <f>A37&amp;"|"&amp;B37&amp;"|"&amp;C37&amp;"|"&amp;D37&amp;"|"&amp;E37</f>
        <v/>
      </c>
      <c r="G37" s="3">
        <f>COUNTIF($F$2:$F$191,F37)</f>
        <v/>
      </c>
      <c r="H37" s="3" t="n">
        <v>-0.018</v>
      </c>
      <c r="I37" s="3">
        <f>_xlfn.MINIFS($H$2:$H$191,$F$2:$F$191,F37)</f>
        <v/>
      </c>
      <c r="J37" s="3">
        <f>_xlfn.MAXIFS($H$2:$H$191,$F$2:$F$191,F37)</f>
        <v/>
      </c>
      <c r="K37" s="3">
        <f>IF(G37=1,"",IF(I37=J37,"EXACT_DUP","MISMATCH"))</f>
        <v/>
      </c>
      <c r="L37" s="3" t="n"/>
      <c r="M37" s="3" t="n">
        <v>4062</v>
      </c>
      <c r="N37" s="3" t="n">
        <v>0.514</v>
      </c>
      <c r="O37" s="3" t="n">
        <v>0.328</v>
      </c>
      <c r="P37" s="3" t="n">
        <v>0.309</v>
      </c>
      <c r="Q37" s="3" t="n">
        <v>0.279</v>
      </c>
      <c r="R37" s="3" t="n">
        <v>0.373</v>
      </c>
      <c r="S37" s="3" t="n"/>
      <c r="T37" s="3" t="inlineStr">
        <is>
          <t>transformed (benchmark-derived)</t>
        </is>
      </c>
      <c r="U37" s="3" t="inlineStr">
        <is>
          <t>1.0</t>
        </is>
      </c>
      <c r="V37" s="3" t="inlineStr">
        <is>
          <t>BSD 3-Clause License</t>
        </is>
      </c>
      <c r="W37" s="3" t="n">
        <v>625</v>
      </c>
      <c r="X37" s="3" t="n">
        <v>0.02</v>
      </c>
      <c r="Y37" s="3" t="n">
        <v>2761</v>
      </c>
      <c r="Z37" s="3" t="n">
        <v>0.013</v>
      </c>
      <c r="AA37" s="3" t="n">
        <v>255</v>
      </c>
      <c r="AB37" s="3" t="n">
        <v>-0.591</v>
      </c>
      <c r="AC37" s="3" t="n">
        <v>421</v>
      </c>
      <c r="AD37" s="3" t="n">
        <v>0.042</v>
      </c>
    </row>
    <row r="38" hidden="1">
      <c r="A38" s="3" t="inlineStr">
        <is>
          <t>TNP</t>
        </is>
      </c>
      <c r="B38" s="3" t="inlineStr">
        <is>
          <t>"hscale": 0=Kyte and Doolittle</t>
        </is>
      </c>
      <c r="C38" s="3" t="inlineStr">
        <is>
          <t>CDR3_length</t>
        </is>
      </c>
      <c r="D38" s="3" t="inlineStr">
        <is>
          <t>TNP CDR3 length-transformed</t>
        </is>
      </c>
      <c r="E38" s="3" t="inlineStr">
        <is>
          <t>Aggregation (Polydispersity idx)</t>
        </is>
      </c>
      <c r="F38" s="3">
        <f>A38&amp;"|"&amp;B38&amp;"|"&amp;C38&amp;"|"&amp;D38&amp;"|"&amp;E38</f>
        <v/>
      </c>
      <c r="G38" s="3">
        <f>COUNTIF($F$2:$F$191,F38)</f>
        <v/>
      </c>
      <c r="H38" s="3" t="n">
        <v>-0.055</v>
      </c>
      <c r="I38" s="3">
        <f>_xlfn.MINIFS($H$2:$H$191,$F$2:$F$191,F38)</f>
        <v/>
      </c>
      <c r="J38" s="3">
        <f>_xlfn.MAXIFS($H$2:$H$191,$F$2:$F$191,F38)</f>
        <v/>
      </c>
      <c r="K38" s="3">
        <f>IF(G38=1,"",IF(I38=J38,"EXACT_DUP","MISMATCH"))</f>
        <v/>
      </c>
      <c r="L38" s="3" t="inlineStr">
        <is>
          <t>*</t>
        </is>
      </c>
      <c r="M38" s="3" t="n">
        <v>1287</v>
      </c>
      <c r="N38" s="3" t="n">
        <v>0.546</v>
      </c>
      <c r="O38" s="3" t="n">
        <v>0.785</v>
      </c>
      <c r="P38" s="3" t="n">
        <v>0.754</v>
      </c>
      <c r="Q38" s="3" t="n">
        <v>0.6919999999999999</v>
      </c>
      <c r="R38" s="3" t="n">
        <v>0.862</v>
      </c>
      <c r="S38" s="3" t="n"/>
      <c r="T38" s="3" t="inlineStr">
        <is>
          <t>transformed (benchmark-derived)</t>
        </is>
      </c>
      <c r="U38" s="3" t="inlineStr">
        <is>
          <t>1.0</t>
        </is>
      </c>
      <c r="V38" s="3" t="inlineStr">
        <is>
          <t>BSD 3-Clause License</t>
        </is>
      </c>
      <c r="W38" s="3" t="n">
        <v>313</v>
      </c>
      <c r="X38" s="3" t="n">
        <v>-0.182</v>
      </c>
      <c r="Y38" s="3" t="n">
        <v>720</v>
      </c>
      <c r="Z38" s="3" t="n">
        <v>-0.093</v>
      </c>
      <c r="AA38" s="3" t="n">
        <v>120</v>
      </c>
      <c r="AB38" s="3" t="n">
        <v>-0.05</v>
      </c>
      <c r="AC38" s="3" t="n">
        <v>134</v>
      </c>
      <c r="AD38" s="3" t="n">
        <v>-0.06</v>
      </c>
    </row>
    <row r="39" hidden="1">
      <c r="A39" s="3" t="inlineStr">
        <is>
          <t>TNP</t>
        </is>
      </c>
      <c r="B39" s="3" t="inlineStr">
        <is>
          <t>"hscale": 0=Kyte and Doolittle</t>
        </is>
      </c>
      <c r="C39" s="3" t="inlineStr">
        <is>
          <t>CDR3_length</t>
        </is>
      </c>
      <c r="D39" s="3" t="inlineStr">
        <is>
          <t>TNP CDR3 length</t>
        </is>
      </c>
      <c r="E39" s="3" t="inlineStr">
        <is>
          <t>Aggregation (Polydispersity idx)</t>
        </is>
      </c>
      <c r="F39" s="3">
        <f>A39&amp;"|"&amp;B39&amp;"|"&amp;C39&amp;"|"&amp;D39&amp;"|"&amp;E39</f>
        <v/>
      </c>
      <c r="G39" s="3">
        <f>COUNTIF($F$2:$F$191,F39)</f>
        <v/>
      </c>
      <c r="H39" s="3" t="n">
        <v>0.012</v>
      </c>
      <c r="I39" s="3">
        <f>_xlfn.MINIFS($H$2:$H$191,$F$2:$F$191,F39)</f>
        <v/>
      </c>
      <c r="J39" s="3">
        <f>_xlfn.MAXIFS($H$2:$H$191,$F$2:$F$191,F39)</f>
        <v/>
      </c>
      <c r="K39" s="3">
        <f>IF(G39=1,"",IF(I39=J39,"EXACT_DUP","MISMATCH"))</f>
        <v/>
      </c>
      <c r="L39" s="3" t="n"/>
      <c r="M39" s="3" t="n">
        <v>1287</v>
      </c>
      <c r="N39" s="3" t="n">
        <v>0.524</v>
      </c>
      <c r="O39" s="3" t="n">
        <v>0.793</v>
      </c>
      <c r="P39" s="3" t="n">
        <v>0.892</v>
      </c>
      <c r="Q39" s="3" t="n">
        <v>0.707</v>
      </c>
      <c r="R39" s="3" t="n">
        <v>0.862</v>
      </c>
      <c r="S39" s="3" t="n"/>
      <c r="T39" s="3" t="inlineStr">
        <is>
          <t>transformed (benchmark-derived)</t>
        </is>
      </c>
      <c r="U39" s="3" t="inlineStr">
        <is>
          <t>1.0</t>
        </is>
      </c>
      <c r="V39" s="3" t="inlineStr">
        <is>
          <t>BSD 3-Clause License</t>
        </is>
      </c>
      <c r="W39" s="3" t="n">
        <v>313</v>
      </c>
      <c r="X39" s="3" t="n">
        <v>-0.391</v>
      </c>
      <c r="Y39" s="3" t="n">
        <v>720</v>
      </c>
      <c r="Z39" s="3" t="n">
        <v>0.1</v>
      </c>
      <c r="AA39" s="3" t="n">
        <v>120</v>
      </c>
      <c r="AB39" s="3" t="n">
        <v>-0.154</v>
      </c>
      <c r="AC39" s="3" t="n">
        <v>134</v>
      </c>
      <c r="AD39" s="3" t="n">
        <v>0.047</v>
      </c>
    </row>
    <row r="40" hidden="1">
      <c r="A40" s="3" t="inlineStr">
        <is>
          <t>TNP</t>
        </is>
      </c>
      <c r="B40" s="3" t="inlineStr">
        <is>
          <t>"hscale": 0=Kyte and Doolittle</t>
        </is>
      </c>
      <c r="C40" s="3" t="inlineStr">
        <is>
          <t>CDR3_length</t>
        </is>
      </c>
      <c r="D40" s="3" t="inlineStr">
        <is>
          <t>TNP CDR3 length-transformed</t>
        </is>
      </c>
      <c r="E40" s="3" t="inlineStr">
        <is>
          <t>Analytical Size Exclusion Chromatography</t>
        </is>
      </c>
      <c r="F40" s="3">
        <f>A40&amp;"|"&amp;B40&amp;"|"&amp;C40&amp;"|"&amp;D40&amp;"|"&amp;E40</f>
        <v/>
      </c>
      <c r="G40" s="3">
        <f>COUNTIF($F$2:$F$191,F40)</f>
        <v/>
      </c>
      <c r="H40" s="3" t="n">
        <v>0.195</v>
      </c>
      <c r="I40" s="3">
        <f>_xlfn.MINIFS($H$2:$H$191,$F$2:$F$191,F40)</f>
        <v/>
      </c>
      <c r="J40" s="3">
        <f>_xlfn.MAXIFS($H$2:$H$191,$F$2:$F$191,F40)</f>
        <v/>
      </c>
      <c r="K40" s="3">
        <f>IF(G40=1,"",IF(I40=J40,"EXACT_DUP","MISMATCH"))</f>
        <v/>
      </c>
      <c r="L40" s="3" t="inlineStr">
        <is>
          <t>***</t>
        </is>
      </c>
      <c r="M40" s="3" t="n">
        <v>1447</v>
      </c>
      <c r="N40" s="3" t="n">
        <v>0.42</v>
      </c>
      <c r="O40" s="3" t="n">
        <v>0.556</v>
      </c>
      <c r="P40" s="3" t="n">
        <v>0.521</v>
      </c>
      <c r="Q40" s="3" t="n">
        <v>0.507</v>
      </c>
      <c r="R40" s="3" t="n">
        <v>0.6850000000000001</v>
      </c>
      <c r="S40" s="3" t="n"/>
      <c r="T40" s="3" t="inlineStr">
        <is>
          <t>transformed (benchmark-derived)</t>
        </is>
      </c>
      <c r="U40" s="3" t="inlineStr">
        <is>
          <t>1.0</t>
        </is>
      </c>
      <c r="V40" s="3" t="inlineStr">
        <is>
          <t>BSD 3-Clause License</t>
        </is>
      </c>
      <c r="W40" s="3" t="n">
        <v>336</v>
      </c>
      <c r="X40" s="3" t="n">
        <v>0.118</v>
      </c>
      <c r="Y40" s="3" t="n">
        <v>823</v>
      </c>
      <c r="Z40" s="3" t="n">
        <v>0.109</v>
      </c>
      <c r="AA40" s="3" t="n">
        <v>137</v>
      </c>
      <c r="AB40" s="3" t="n">
        <v>0.004</v>
      </c>
      <c r="AC40" s="3" t="n">
        <v>151</v>
      </c>
      <c r="AD40" s="3" t="n">
        <v>-0.226</v>
      </c>
    </row>
    <row r="41" hidden="1">
      <c r="A41" s="3" t="inlineStr">
        <is>
          <t>TNP</t>
        </is>
      </c>
      <c r="B41" s="3" t="inlineStr">
        <is>
          <t>"hscale": 0=Kyte and Doolittle</t>
        </is>
      </c>
      <c r="C41" s="3" t="inlineStr">
        <is>
          <t>CDR3_length</t>
        </is>
      </c>
      <c r="D41" s="3" t="inlineStr">
        <is>
          <t>TNP CDR3 length</t>
        </is>
      </c>
      <c r="E41" s="3" t="inlineStr">
        <is>
          <t>Analytical Size Exclusion Chromatography</t>
        </is>
      </c>
      <c r="F41" s="3">
        <f>A41&amp;"|"&amp;B41&amp;"|"&amp;C41&amp;"|"&amp;D41&amp;"|"&amp;E41</f>
        <v/>
      </c>
      <c r="G41" s="3">
        <f>COUNTIF($F$2:$F$191,F41)</f>
        <v/>
      </c>
      <c r="H41" s="3" t="n">
        <v>-0.008</v>
      </c>
      <c r="I41" s="3">
        <f>_xlfn.MINIFS($H$2:$H$191,$F$2:$F$191,F41)</f>
        <v/>
      </c>
      <c r="J41" s="3">
        <f>_xlfn.MAXIFS($H$2:$H$191,$F$2:$F$191,F41)</f>
        <v/>
      </c>
      <c r="K41" s="3">
        <f>IF(G41=1,"",IF(I41=J41,"EXACT_DUP","MISMATCH"))</f>
        <v/>
      </c>
      <c r="L41" s="3" t="n"/>
      <c r="M41" s="3" t="n">
        <v>1447</v>
      </c>
      <c r="N41" s="3" t="n">
        <v>0.523</v>
      </c>
      <c r="O41" s="3" t="n">
        <v>0.624</v>
      </c>
      <c r="P41" s="3" t="n">
        <v>0.658</v>
      </c>
      <c r="Q41" s="3" t="n">
        <v>0.521</v>
      </c>
      <c r="R41" s="3" t="n">
        <v>0.713</v>
      </c>
      <c r="S41" s="3" t="n"/>
      <c r="T41" s="3" t="inlineStr">
        <is>
          <t>transformed (benchmark-derived)</t>
        </is>
      </c>
      <c r="U41" s="3" t="inlineStr">
        <is>
          <t>1.0</t>
        </is>
      </c>
      <c r="V41" s="3" t="inlineStr">
        <is>
          <t>BSD 3-Clause License</t>
        </is>
      </c>
      <c r="W41" s="3" t="n">
        <v>336</v>
      </c>
      <c r="X41" s="3" t="n">
        <v>0.246</v>
      </c>
      <c r="Y41" s="3" t="n">
        <v>823</v>
      </c>
      <c r="Z41" s="3" t="n">
        <v>-0.07000000000000001</v>
      </c>
      <c r="AA41" s="3" t="n">
        <v>137</v>
      </c>
      <c r="AB41" s="3" t="n">
        <v>0.111</v>
      </c>
      <c r="AC41" s="3" t="n">
        <v>151</v>
      </c>
      <c r="AD41" s="3" t="n">
        <v>0.249</v>
      </c>
    </row>
    <row r="42" hidden="1">
      <c r="A42" s="3" t="inlineStr">
        <is>
          <t>TNP</t>
        </is>
      </c>
      <c r="B42" s="3" t="inlineStr">
        <is>
          <t>"hscale": 0=Kyte and Doolittle</t>
        </is>
      </c>
      <c r="C42" s="3" t="inlineStr">
        <is>
          <t>CDR3_length</t>
        </is>
      </c>
      <c r="D42" s="3" t="inlineStr">
        <is>
          <t>TNP CDR3 length</t>
        </is>
      </c>
      <c r="E42" s="3" t="inlineStr">
        <is>
          <t>Hydrophobicity</t>
        </is>
      </c>
      <c r="F42" s="3">
        <f>A42&amp;"|"&amp;B42&amp;"|"&amp;C42&amp;"|"&amp;D42&amp;"|"&amp;E42</f>
        <v/>
      </c>
      <c r="G42" s="3">
        <f>COUNTIF($F$2:$F$191,F42)</f>
        <v/>
      </c>
      <c r="H42" s="3" t="n">
        <v>-0.177</v>
      </c>
      <c r="I42" s="3">
        <f>_xlfn.MINIFS($H$2:$H$191,$F$2:$F$191,F42)</f>
        <v/>
      </c>
      <c r="J42" s="3">
        <f>_xlfn.MAXIFS($H$2:$H$191,$F$2:$F$191,F42)</f>
        <v/>
      </c>
      <c r="K42" s="3">
        <f>IF(G42=1,"",IF(I42=J42,"EXACT_DUP","MISMATCH"))</f>
        <v/>
      </c>
      <c r="L42" s="3" t="inlineStr">
        <is>
          <t>***</t>
        </is>
      </c>
      <c r="M42" s="3" t="n">
        <v>1294</v>
      </c>
      <c r="N42" s="3" t="n"/>
      <c r="O42" s="3" t="n"/>
      <c r="P42" s="3" t="n"/>
      <c r="Q42" s="3" t="n"/>
      <c r="R42" s="3" t="n"/>
      <c r="S42" s="3" t="n"/>
      <c r="T42" s="3" t="inlineStr">
        <is>
          <t>transformed (benchmark-derived)</t>
        </is>
      </c>
      <c r="U42" s="3" t="inlineStr">
        <is>
          <t>1.0</t>
        </is>
      </c>
      <c r="V42" s="3" t="inlineStr">
        <is>
          <t>BSD 3-Clause License</t>
        </is>
      </c>
      <c r="W42" s="3" t="n">
        <v>314</v>
      </c>
      <c r="X42" s="3" t="n">
        <v>-0.131</v>
      </c>
      <c r="Y42" s="3" t="n">
        <v>723</v>
      </c>
      <c r="Z42" s="3" t="n">
        <v>-0.056</v>
      </c>
      <c r="AA42" s="3" t="n">
        <v>122</v>
      </c>
      <c r="AB42" s="3" t="n">
        <v>-0.183</v>
      </c>
      <c r="AC42" s="3" t="n">
        <v>135</v>
      </c>
      <c r="AD42" s="3" t="n">
        <v>0.097</v>
      </c>
    </row>
    <row r="43" hidden="1">
      <c r="A43" s="3" t="inlineStr">
        <is>
          <t>TNP</t>
        </is>
      </c>
      <c r="B43" s="3" t="inlineStr">
        <is>
          <t>"hscale": 0=Kyte and Doolittle</t>
        </is>
      </c>
      <c r="C43" s="3" t="inlineStr">
        <is>
          <t>CDR3_length</t>
        </is>
      </c>
      <c r="D43" s="3" t="inlineStr">
        <is>
          <t>TNP CDR3 length-transformed</t>
        </is>
      </c>
      <c r="E43" s="3" t="inlineStr">
        <is>
          <t>Hydrophobicity</t>
        </is>
      </c>
      <c r="F43" s="3">
        <f>A43&amp;"|"&amp;B43&amp;"|"&amp;C43&amp;"|"&amp;D43&amp;"|"&amp;E43</f>
        <v/>
      </c>
      <c r="G43" s="3">
        <f>COUNTIF($F$2:$F$191,F43)</f>
        <v/>
      </c>
      <c r="H43" s="3" t="n">
        <v>0.073</v>
      </c>
      <c r="I43" s="3">
        <f>_xlfn.MINIFS($H$2:$H$191,$F$2:$F$191,F43)</f>
        <v/>
      </c>
      <c r="J43" s="3">
        <f>_xlfn.MAXIFS($H$2:$H$191,$F$2:$F$191,F43)</f>
        <v/>
      </c>
      <c r="K43" s="3">
        <f>IF(G43=1,"",IF(I43=J43,"EXACT_DUP","MISMATCH"))</f>
        <v/>
      </c>
      <c r="L43" s="3" t="inlineStr">
        <is>
          <t>**</t>
        </is>
      </c>
      <c r="M43" s="3" t="n">
        <v>1294</v>
      </c>
      <c r="N43" s="3" t="n"/>
      <c r="O43" s="3" t="n"/>
      <c r="P43" s="3" t="n"/>
      <c r="Q43" s="3" t="n"/>
      <c r="R43" s="3" t="n"/>
      <c r="S43" s="3" t="n"/>
      <c r="T43" s="3" t="inlineStr">
        <is>
          <t>transformed (benchmark-derived)</t>
        </is>
      </c>
      <c r="U43" s="3" t="inlineStr">
        <is>
          <t>1.0</t>
        </is>
      </c>
      <c r="V43" s="3" t="inlineStr">
        <is>
          <t>BSD 3-Clause License</t>
        </is>
      </c>
      <c r="W43" s="3" t="n">
        <v>314</v>
      </c>
      <c r="X43" s="3" t="n">
        <v>0.243</v>
      </c>
      <c r="Y43" s="3" t="n">
        <v>723</v>
      </c>
      <c r="Z43" s="3" t="n">
        <v>-0.098</v>
      </c>
      <c r="AA43" s="3" t="n">
        <v>122</v>
      </c>
      <c r="AB43" s="3" t="n">
        <v>-0.175</v>
      </c>
      <c r="AC43" s="3" t="n">
        <v>135</v>
      </c>
      <c r="AD43" s="3" t="n">
        <v>-0.129</v>
      </c>
    </row>
    <row r="44" hidden="1">
      <c r="A44" s="3" t="inlineStr">
        <is>
          <t>TNP</t>
        </is>
      </c>
      <c r="B44" s="3" t="inlineStr">
        <is>
          <t>"hscale": 0=Kyte and Doolittle</t>
        </is>
      </c>
      <c r="C44" s="3" t="inlineStr">
        <is>
          <t>CDR3_length</t>
        </is>
      </c>
      <c r="D44" s="3" t="inlineStr">
        <is>
          <t>TNP CDR3 length</t>
        </is>
      </c>
      <c r="E44" s="3" t="inlineStr">
        <is>
          <t>Polyreactivity (absorbance)</t>
        </is>
      </c>
      <c r="F44" s="3">
        <f>A44&amp;"|"&amp;B44&amp;"|"&amp;C44&amp;"|"&amp;D44&amp;"|"&amp;E44</f>
        <v/>
      </c>
      <c r="G44" s="3">
        <f>COUNTIF($F$2:$F$191,F44)</f>
        <v/>
      </c>
      <c r="H44" s="3" t="n">
        <v>0.18</v>
      </c>
      <c r="I44" s="3">
        <f>_xlfn.MINIFS($H$2:$H$191,$F$2:$F$191,F44)</f>
        <v/>
      </c>
      <c r="J44" s="3">
        <f>_xlfn.MAXIFS($H$2:$H$191,$F$2:$F$191,F44)</f>
        <v/>
      </c>
      <c r="K44" s="3">
        <f>IF(G44=1,"",IF(I44=J44,"EXACT_DUP","MISMATCH"))</f>
        <v/>
      </c>
      <c r="L44" s="3" t="inlineStr">
        <is>
          <t>***</t>
        </is>
      </c>
      <c r="M44" s="3" t="n">
        <v>1294</v>
      </c>
      <c r="N44" s="3" t="n">
        <v>0.407</v>
      </c>
      <c r="O44" s="3" t="n">
        <v>0.624</v>
      </c>
      <c r="P44" s="3" t="n">
        <v>0.4</v>
      </c>
      <c r="Q44" s="3" t="n">
        <v>0.6</v>
      </c>
      <c r="R44" s="3" t="n">
        <v>0.769</v>
      </c>
      <c r="S44" s="3" t="n"/>
      <c r="T44" s="3" t="inlineStr">
        <is>
          <t>transformed (benchmark-derived)</t>
        </is>
      </c>
      <c r="U44" s="3" t="inlineStr">
        <is>
          <t>1.0</t>
        </is>
      </c>
      <c r="V44" s="3" t="inlineStr">
        <is>
          <t>BSD 3-Clause License</t>
        </is>
      </c>
      <c r="W44" s="3" t="n">
        <v>314</v>
      </c>
      <c r="X44" s="3" t="n">
        <v>0.238</v>
      </c>
      <c r="Y44" s="3" t="n">
        <v>723</v>
      </c>
      <c r="Z44" s="3" t="n">
        <v>0.052</v>
      </c>
      <c r="AA44" s="3" t="n">
        <v>122</v>
      </c>
      <c r="AB44" s="3" t="n">
        <v>-0.02</v>
      </c>
      <c r="AC44" s="3" t="n">
        <v>135</v>
      </c>
      <c r="AD44" s="3" t="n">
        <v>-0.184</v>
      </c>
    </row>
    <row r="45" hidden="1">
      <c r="A45" s="3" t="inlineStr">
        <is>
          <t>TNP</t>
        </is>
      </c>
      <c r="B45" s="3" t="inlineStr">
        <is>
          <t>"hscale": 0=Kyte and Doolittle</t>
        </is>
      </c>
      <c r="C45" s="3" t="inlineStr">
        <is>
          <t>CDR3_length</t>
        </is>
      </c>
      <c r="D45" s="3" t="inlineStr">
        <is>
          <t>TNP CDR3 length-transformed</t>
        </is>
      </c>
      <c r="E45" s="3" t="inlineStr">
        <is>
          <t>Polyreactivity (absorbance)</t>
        </is>
      </c>
      <c r="F45" s="3">
        <f>A45&amp;"|"&amp;B45&amp;"|"&amp;C45&amp;"|"&amp;D45&amp;"|"&amp;E45</f>
        <v/>
      </c>
      <c r="G45" s="3">
        <f>COUNTIF($F$2:$F$191,F45)</f>
        <v/>
      </c>
      <c r="H45" s="3" t="n">
        <v>0.011</v>
      </c>
      <c r="I45" s="3">
        <f>_xlfn.MINIFS($H$2:$H$191,$F$2:$F$191,F45)</f>
        <v/>
      </c>
      <c r="J45" s="3">
        <f>_xlfn.MAXIFS($H$2:$H$191,$F$2:$F$191,F45)</f>
        <v/>
      </c>
      <c r="K45" s="3">
        <f>IF(G45=1,"",IF(I45=J45,"EXACT_DUP","MISMATCH"))</f>
        <v/>
      </c>
      <c r="L45" s="3" t="n"/>
      <c r="M45" s="3" t="n">
        <v>1294</v>
      </c>
      <c r="N45" s="3" t="n">
        <v>0.495</v>
      </c>
      <c r="O45" s="3" t="n">
        <v>0.696</v>
      </c>
      <c r="P45" s="3" t="n">
        <v>0.723</v>
      </c>
      <c r="Q45" s="3" t="n">
        <v>0.5679999999999999</v>
      </c>
      <c r="R45" s="3" t="n">
        <v>0.77</v>
      </c>
      <c r="S45" s="3" t="n"/>
      <c r="T45" s="3" t="inlineStr">
        <is>
          <t>transformed (benchmark-derived)</t>
        </is>
      </c>
      <c r="U45" s="3" t="inlineStr">
        <is>
          <t>1.0</t>
        </is>
      </c>
      <c r="V45" s="3" t="inlineStr">
        <is>
          <t>BSD 3-Clause License</t>
        </is>
      </c>
      <c r="W45" s="3" t="n">
        <v>314</v>
      </c>
      <c r="X45" s="3" t="n">
        <v>-0.07000000000000001</v>
      </c>
      <c r="Y45" s="3" t="n">
        <v>723</v>
      </c>
      <c r="Z45" s="3" t="n">
        <v>0.08599999999999999</v>
      </c>
      <c r="AA45" s="3" t="n">
        <v>122</v>
      </c>
      <c r="AB45" s="3" t="n">
        <v>0.056</v>
      </c>
      <c r="AC45" s="3" t="n">
        <v>135</v>
      </c>
      <c r="AD45" s="3" t="n">
        <v>0.194</v>
      </c>
    </row>
    <row r="46" hidden="1">
      <c r="A46" s="3" t="inlineStr">
        <is>
          <t>TNP</t>
        </is>
      </c>
      <c r="B46" s="3" t="inlineStr">
        <is>
          <t>"hscale": 0=Kyte and Doolittle</t>
        </is>
      </c>
      <c r="C46" s="3" t="inlineStr">
        <is>
          <t>CDR3_length</t>
        </is>
      </c>
      <c r="D46" s="3" t="inlineStr">
        <is>
          <t>TNP CDR3 length</t>
        </is>
      </c>
      <c r="E46" s="3" t="inlineStr">
        <is>
          <t>Thermostability (Tm1)</t>
        </is>
      </c>
      <c r="F46" s="3">
        <f>A46&amp;"|"&amp;B46&amp;"|"&amp;C46&amp;"|"&amp;D46&amp;"|"&amp;E46</f>
        <v/>
      </c>
      <c r="G46" s="3">
        <f>COUNTIF($F$2:$F$191,F46)</f>
        <v/>
      </c>
      <c r="H46" s="3" t="n">
        <v>-0.12</v>
      </c>
      <c r="I46" s="3">
        <f>_xlfn.MINIFS($H$2:$H$191,$F$2:$F$191,F46)</f>
        <v/>
      </c>
      <c r="J46" s="3">
        <f>_xlfn.MAXIFS($H$2:$H$191,$F$2:$F$191,F46)</f>
        <v/>
      </c>
      <c r="K46" s="3">
        <f>IF(G46=1,"",IF(I46=J46,"EXACT_DUP","MISMATCH"))</f>
        <v/>
      </c>
      <c r="L46" s="3" t="inlineStr">
        <is>
          <t>***</t>
        </is>
      </c>
      <c r="M46" s="3" t="n">
        <v>1406</v>
      </c>
      <c r="N46" s="3" t="n">
        <v>0.539</v>
      </c>
      <c r="O46" s="3" t="n">
        <v>0.585</v>
      </c>
      <c r="P46" s="3" t="n">
        <v>0.366</v>
      </c>
      <c r="Q46" s="3" t="n">
        <v>0.506</v>
      </c>
      <c r="R46" s="3" t="n">
        <v>0.6899999999999999</v>
      </c>
      <c r="S46" s="3" t="n"/>
      <c r="T46" s="3" t="inlineStr">
        <is>
          <t>transformed (benchmark-derived)</t>
        </is>
      </c>
      <c r="U46" s="3" t="inlineStr">
        <is>
          <t>1.0</t>
        </is>
      </c>
      <c r="V46" s="3" t="inlineStr">
        <is>
          <t>BSD 3-Clause License</t>
        </is>
      </c>
      <c r="W46" s="3" t="n">
        <v>305</v>
      </c>
      <c r="X46" s="3" t="n">
        <v>0.369</v>
      </c>
      <c r="Y46" s="3" t="n">
        <v>829</v>
      </c>
      <c r="Z46" s="3" t="n">
        <v>-0.189</v>
      </c>
      <c r="AA46" s="3" t="n">
        <v>129</v>
      </c>
      <c r="AB46" s="3" t="n">
        <v>0.066</v>
      </c>
      <c r="AC46" s="3" t="n">
        <v>143</v>
      </c>
      <c r="AD46" s="3" t="n">
        <v>-0.14</v>
      </c>
    </row>
    <row r="47" hidden="1">
      <c r="A47" s="3" t="inlineStr">
        <is>
          <t>TNP</t>
        </is>
      </c>
      <c r="B47" s="3" t="inlineStr">
        <is>
          <t>"hscale": 0=Kyte and Doolittle</t>
        </is>
      </c>
      <c r="C47" s="3" t="inlineStr">
        <is>
          <t>CDR3_length</t>
        </is>
      </c>
      <c r="D47" s="3" t="inlineStr">
        <is>
          <t>TNP CDR3 length-transformed</t>
        </is>
      </c>
      <c r="E47" s="3" t="inlineStr">
        <is>
          <t>Thermostability (Tm1)</t>
        </is>
      </c>
      <c r="F47" s="3">
        <f>A47&amp;"|"&amp;B47&amp;"|"&amp;C47&amp;"|"&amp;D47&amp;"|"&amp;E47</f>
        <v/>
      </c>
      <c r="G47" s="3">
        <f>COUNTIF($F$2:$F$191,F47)</f>
        <v/>
      </c>
      <c r="H47" s="3" t="n">
        <v>-0.022</v>
      </c>
      <c r="I47" s="3">
        <f>_xlfn.MINIFS($H$2:$H$191,$F$2:$F$191,F47)</f>
        <v/>
      </c>
      <c r="J47" s="3">
        <f>_xlfn.MAXIFS($H$2:$H$191,$F$2:$F$191,F47)</f>
        <v/>
      </c>
      <c r="K47" s="3">
        <f>IF(G47=1,"",IF(I47=J47,"EXACT_DUP","MISMATCH"))</f>
        <v/>
      </c>
      <c r="L47" s="3" t="n"/>
      <c r="M47" s="3" t="n">
        <v>1406</v>
      </c>
      <c r="N47" s="3" t="n">
        <v>0.515</v>
      </c>
      <c r="O47" s="3" t="n">
        <v>0.57</v>
      </c>
      <c r="P47" s="3" t="n">
        <v>0.31</v>
      </c>
      <c r="Q47" s="3" t="n">
        <v>0.451</v>
      </c>
      <c r="R47" s="3" t="n">
        <v>0.676</v>
      </c>
      <c r="S47" s="3" t="n"/>
      <c r="T47" s="3" t="inlineStr">
        <is>
          <t>transformed (benchmark-derived)</t>
        </is>
      </c>
      <c r="U47" s="3" t="inlineStr">
        <is>
          <t>1.0</t>
        </is>
      </c>
      <c r="V47" s="3" t="inlineStr">
        <is>
          <t>BSD 3-Clause License</t>
        </is>
      </c>
      <c r="W47" s="3" t="n">
        <v>305</v>
      </c>
      <c r="X47" s="3" t="n">
        <v>-0.172</v>
      </c>
      <c r="Y47" s="3" t="n">
        <v>829</v>
      </c>
      <c r="Z47" s="3" t="n">
        <v>0.101</v>
      </c>
      <c r="AA47" s="3" t="n">
        <v>129</v>
      </c>
      <c r="AB47" s="3" t="n">
        <v>-0.043</v>
      </c>
      <c r="AC47" s="3" t="n">
        <v>143</v>
      </c>
      <c r="AD47" s="3" t="n">
        <v>0.135</v>
      </c>
    </row>
    <row r="48" hidden="1">
      <c r="A48" s="3" t="inlineStr">
        <is>
          <t>TNP</t>
        </is>
      </c>
      <c r="B48" s="3" t="inlineStr">
        <is>
          <t>"hscale": 0=Kyte and Doolittle</t>
        </is>
      </c>
      <c r="C48" s="3" t="inlineStr">
        <is>
          <t>CDR3_length</t>
        </is>
      </c>
      <c r="D48" s="3" t="inlineStr">
        <is>
          <t>TNP CDR3 length-transformed</t>
        </is>
      </c>
      <c r="E48" s="3" t="inlineStr">
        <is>
          <t>Thermostability (Tm2)</t>
        </is>
      </c>
      <c r="F48" s="3">
        <f>A48&amp;"|"&amp;B48&amp;"|"&amp;C48&amp;"|"&amp;D48&amp;"|"&amp;E48</f>
        <v/>
      </c>
      <c r="G48" s="3">
        <f>COUNTIF($F$2:$F$191,F48)</f>
        <v/>
      </c>
      <c r="H48" s="3" t="n">
        <v>-0.065</v>
      </c>
      <c r="I48" s="3">
        <f>_xlfn.MINIFS($H$2:$H$191,$F$2:$F$191,F48)</f>
        <v/>
      </c>
      <c r="J48" s="3">
        <f>_xlfn.MAXIFS($H$2:$H$191,$F$2:$F$191,F48)</f>
        <v/>
      </c>
      <c r="K48" s="3">
        <f>IF(G48=1,"",IF(I48=J48,"EXACT_DUP","MISMATCH"))</f>
        <v/>
      </c>
      <c r="L48" s="3" t="inlineStr">
        <is>
          <t>*</t>
        </is>
      </c>
      <c r="M48" s="3" t="n">
        <v>1094</v>
      </c>
      <c r="N48" s="3" t="n">
        <v>0.511</v>
      </c>
      <c r="O48" s="3" t="n">
        <v>0.643</v>
      </c>
      <c r="P48" s="3" t="n">
        <v>0.582</v>
      </c>
      <c r="Q48" s="3" t="n">
        <v>0.527</v>
      </c>
      <c r="R48" s="3" t="n">
        <v>0.727</v>
      </c>
      <c r="S48" s="3" t="n"/>
      <c r="T48" s="3" t="inlineStr">
        <is>
          <t>transformed (benchmark-derived)</t>
        </is>
      </c>
      <c r="U48" s="3" t="inlineStr">
        <is>
          <t>1.0</t>
        </is>
      </c>
      <c r="V48" s="3" t="inlineStr">
        <is>
          <t>BSD 3-Clause License</t>
        </is>
      </c>
      <c r="W48" s="3" t="n">
        <v>276</v>
      </c>
      <c r="X48" s="3" t="n">
        <v>-0.173</v>
      </c>
      <c r="Y48" s="3" t="n">
        <v>575</v>
      </c>
      <c r="Z48" s="3" t="n">
        <v>0.019</v>
      </c>
      <c r="AA48" s="3" t="n">
        <v>126</v>
      </c>
      <c r="AB48" s="3" t="n">
        <v>-0.016</v>
      </c>
      <c r="AC48" s="3" t="n">
        <v>117</v>
      </c>
      <c r="AD48" s="3" t="n">
        <v>-0.103</v>
      </c>
    </row>
    <row r="49" hidden="1">
      <c r="A49" s="3" t="inlineStr">
        <is>
          <t>TNP</t>
        </is>
      </c>
      <c r="B49" s="3" t="inlineStr">
        <is>
          <t>"hscale": 0=Kyte and Doolittle</t>
        </is>
      </c>
      <c r="C49" s="3" t="inlineStr">
        <is>
          <t>CDR3_length</t>
        </is>
      </c>
      <c r="D49" s="3" t="inlineStr">
        <is>
          <t>TNP CDR3 length</t>
        </is>
      </c>
      <c r="E49" s="3" t="inlineStr">
        <is>
          <t>Thermostability (Tm2)</t>
        </is>
      </c>
      <c r="F49" s="3">
        <f>A49&amp;"|"&amp;B49&amp;"|"&amp;C49&amp;"|"&amp;D49&amp;"|"&amp;E49</f>
        <v/>
      </c>
      <c r="G49" s="3">
        <f>COUNTIF($F$2:$F$191,F49)</f>
        <v/>
      </c>
      <c r="H49" s="3" t="n">
        <v>0.028</v>
      </c>
      <c r="I49" s="3">
        <f>_xlfn.MINIFS($H$2:$H$191,$F$2:$F$191,F49)</f>
        <v/>
      </c>
      <c r="J49" s="3">
        <f>_xlfn.MAXIFS($H$2:$H$191,$F$2:$F$191,F49)</f>
        <v/>
      </c>
      <c r="K49" s="3">
        <f>IF(G49=1,"",IF(I49=J49,"EXACT_DUP","MISMATCH"))</f>
        <v/>
      </c>
      <c r="L49" s="3" t="n"/>
      <c r="M49" s="3" t="n">
        <v>1094</v>
      </c>
      <c r="N49" s="3" t="n">
        <v>0.51</v>
      </c>
      <c r="O49" s="3" t="n">
        <v>0.635</v>
      </c>
      <c r="P49" s="3" t="n">
        <v>0.6909999999999999</v>
      </c>
      <c r="Q49" s="3" t="n">
        <v>0.545</v>
      </c>
      <c r="R49" s="3" t="n">
        <v>0.727</v>
      </c>
      <c r="S49" s="3" t="n"/>
      <c r="T49" s="3" t="inlineStr">
        <is>
          <t>transformed (benchmark-derived)</t>
        </is>
      </c>
      <c r="U49" s="3" t="inlineStr">
        <is>
          <t>1.0</t>
        </is>
      </c>
      <c r="V49" s="3" t="inlineStr">
        <is>
          <t>BSD 3-Clause License</t>
        </is>
      </c>
      <c r="W49" s="3" t="n">
        <v>276</v>
      </c>
      <c r="X49" s="3" t="n">
        <v>0.309</v>
      </c>
      <c r="Y49" s="3" t="n">
        <v>575</v>
      </c>
      <c r="Z49" s="3" t="n">
        <v>-0.065</v>
      </c>
      <c r="AA49" s="3" t="n">
        <v>126</v>
      </c>
      <c r="AB49" s="3" t="n">
        <v>-0.013</v>
      </c>
      <c r="AC49" s="3" t="n">
        <v>117</v>
      </c>
      <c r="AD49" s="3" t="n">
        <v>0.08699999999999999</v>
      </c>
    </row>
    <row r="50" hidden="1">
      <c r="A50" s="3" t="inlineStr">
        <is>
          <t>TNP</t>
        </is>
      </c>
      <c r="B50" s="3" t="inlineStr">
        <is>
          <t>"hscale": 0=Kyte and Doolittle</t>
        </is>
      </c>
      <c r="C50" s="3" t="inlineStr">
        <is>
          <t>CDR3_length</t>
        </is>
      </c>
      <c r="D50" s="3" t="inlineStr">
        <is>
          <t>TNP CDR3 length</t>
        </is>
      </c>
      <c r="E50" s="3" t="inlineStr">
        <is>
          <t>Thermostability (Tm3)</t>
        </is>
      </c>
      <c r="F50" s="3">
        <f>A50&amp;"|"&amp;B50&amp;"|"&amp;C50&amp;"|"&amp;D50&amp;"|"&amp;E50</f>
        <v/>
      </c>
      <c r="G50" s="3">
        <f>COUNTIF($F$2:$F$191,F50)</f>
        <v/>
      </c>
      <c r="H50" s="3" t="n">
        <v>0.169</v>
      </c>
      <c r="I50" s="3">
        <f>_xlfn.MINIFS($H$2:$H$191,$F$2:$F$191,F50)</f>
        <v/>
      </c>
      <c r="J50" s="3">
        <f>_xlfn.MAXIFS($H$2:$H$191,$F$2:$F$191,F50)</f>
        <v/>
      </c>
      <c r="K50" s="3">
        <f>IF(G50=1,"",IF(I50=J50,"EXACT_DUP","MISMATCH"))</f>
        <v/>
      </c>
      <c r="L50" s="3" t="inlineStr">
        <is>
          <t>*</t>
        </is>
      </c>
      <c r="M50" s="3" t="n">
        <v>177</v>
      </c>
      <c r="N50" s="3" t="n">
        <v>0.449</v>
      </c>
      <c r="O50" s="3" t="n">
        <v>0.379</v>
      </c>
      <c r="P50" s="3" t="n">
        <v>0.333</v>
      </c>
      <c r="Q50" s="3" t="n">
        <v>0.222</v>
      </c>
      <c r="R50" s="3" t="n">
        <v>0.667</v>
      </c>
      <c r="S50" s="3" t="n"/>
      <c r="T50" s="3" t="inlineStr">
        <is>
          <t>transformed (benchmark-derived)</t>
        </is>
      </c>
      <c r="U50" s="3" t="inlineStr">
        <is>
          <t>1.0</t>
        </is>
      </c>
      <c r="V50" s="3" t="inlineStr">
        <is>
          <t>BSD 3-Clause License</t>
        </is>
      </c>
      <c r="W50" s="3" t="n">
        <v>80</v>
      </c>
      <c r="X50" s="3" t="n">
        <v>0.411</v>
      </c>
      <c r="Y50" s="3" t="n">
        <v>38</v>
      </c>
      <c r="Z50" s="3" t="n">
        <v>-0.173</v>
      </c>
      <c r="AA50" s="3" t="n">
        <v>56</v>
      </c>
      <c r="AB50" s="3" t="n">
        <v>-0.202</v>
      </c>
      <c r="AC50" s="3" t="n"/>
      <c r="AD50" s="3" t="n"/>
    </row>
    <row r="51" hidden="1">
      <c r="A51" s="3" t="inlineStr">
        <is>
          <t>TNP</t>
        </is>
      </c>
      <c r="B51" s="3" t="inlineStr">
        <is>
          <t>"hscale": 0=Kyte and Doolittle</t>
        </is>
      </c>
      <c r="C51" s="3" t="inlineStr">
        <is>
          <t>CDR3_length</t>
        </is>
      </c>
      <c r="D51" s="3" t="inlineStr">
        <is>
          <t>TNP CDR3 length-transformed</t>
        </is>
      </c>
      <c r="E51" s="3" t="inlineStr">
        <is>
          <t>Thermostability (Tm3)</t>
        </is>
      </c>
      <c r="F51" s="3">
        <f>A51&amp;"|"&amp;B51&amp;"|"&amp;C51&amp;"|"&amp;D51&amp;"|"&amp;E51</f>
        <v/>
      </c>
      <c r="G51" s="3">
        <f>COUNTIF($F$2:$F$191,F51)</f>
        <v/>
      </c>
      <c r="H51" s="3" t="n">
        <v>-0.155</v>
      </c>
      <c r="I51" s="3">
        <f>_xlfn.MINIFS($H$2:$H$191,$F$2:$F$191,F51)</f>
        <v/>
      </c>
      <c r="J51" s="3">
        <f>_xlfn.MAXIFS($H$2:$H$191,$F$2:$F$191,F51)</f>
        <v/>
      </c>
      <c r="K51" s="3">
        <f>IF(G51=1,"",IF(I51=J51,"EXACT_DUP","MISMATCH"))</f>
        <v/>
      </c>
      <c r="L51" s="3" t="inlineStr">
        <is>
          <t>*</t>
        </is>
      </c>
      <c r="M51" s="3" t="n">
        <v>177</v>
      </c>
      <c r="N51" s="3" t="n">
        <v>0.618</v>
      </c>
      <c r="O51" s="3" t="n">
        <v>0.489</v>
      </c>
      <c r="P51" s="3" t="n">
        <v>0.556</v>
      </c>
      <c r="Q51" s="3" t="n">
        <v>0.222</v>
      </c>
      <c r="R51" s="3" t="n">
        <v>0.778</v>
      </c>
      <c r="S51" s="3" t="n"/>
      <c r="T51" s="3" t="inlineStr">
        <is>
          <t>transformed (benchmark-derived)</t>
        </is>
      </c>
      <c r="U51" s="3" t="inlineStr">
        <is>
          <t>1.0</t>
        </is>
      </c>
      <c r="V51" s="3" t="inlineStr">
        <is>
          <t>BSD 3-Clause License</t>
        </is>
      </c>
      <c r="W51" s="3" t="n">
        <v>80</v>
      </c>
      <c r="X51" s="3" t="n">
        <v>-0.314</v>
      </c>
      <c r="Y51" s="3" t="n">
        <v>38</v>
      </c>
      <c r="Z51" s="3" t="n">
        <v>0.095</v>
      </c>
      <c r="AA51" s="3" t="n">
        <v>56</v>
      </c>
      <c r="AB51" s="3" t="n">
        <v>0.058</v>
      </c>
      <c r="AC51" s="3" t="n"/>
      <c r="AD51" s="3" t="n"/>
    </row>
    <row r="52" hidden="1">
      <c r="A52" s="3" t="inlineStr">
        <is>
          <t>TNP</t>
        </is>
      </c>
      <c r="B52" s="3" t="inlineStr">
        <is>
          <t>"hscale": 0=Kyte and Doolittle</t>
        </is>
      </c>
      <c r="C52" s="3" t="inlineStr">
        <is>
          <t>CDR3_length</t>
        </is>
      </c>
      <c r="D52" s="3" t="inlineStr">
        <is>
          <t>TNP CDR3 length</t>
        </is>
      </c>
      <c r="E52" s="3" t="inlineStr">
        <is>
          <t>Thermostability (onset)</t>
        </is>
      </c>
      <c r="F52" s="3">
        <f>A52&amp;"|"&amp;B52&amp;"|"&amp;C52&amp;"|"&amp;D52&amp;"|"&amp;E52</f>
        <v/>
      </c>
      <c r="G52" s="3">
        <f>COUNTIF($F$2:$F$191,F52)</f>
        <v/>
      </c>
      <c r="H52" s="3" t="n">
        <v>-0.101</v>
      </c>
      <c r="I52" s="3">
        <f>_xlfn.MINIFS($H$2:$H$191,$F$2:$F$191,F52)</f>
        <v/>
      </c>
      <c r="J52" s="3">
        <f>_xlfn.MAXIFS($H$2:$H$191,$F$2:$F$191,F52)</f>
        <v/>
      </c>
      <c r="K52" s="3">
        <f>IF(G52=1,"",IF(I52=J52,"EXACT_DUP","MISMATCH"))</f>
        <v/>
      </c>
      <c r="L52" s="3" t="inlineStr">
        <is>
          <t>***</t>
        </is>
      </c>
      <c r="M52" s="3" t="n">
        <v>1404</v>
      </c>
      <c r="N52" s="3" t="n">
        <v>0.542</v>
      </c>
      <c r="O52" s="3" t="n">
        <v>0.615</v>
      </c>
      <c r="P52" s="3" t="n">
        <v>0.423</v>
      </c>
      <c r="Q52" s="3" t="n">
        <v>0.535</v>
      </c>
      <c r="R52" s="3" t="n">
        <v>0.718</v>
      </c>
      <c r="S52" s="3" t="n"/>
      <c r="T52" s="3" t="inlineStr">
        <is>
          <t>transformed (benchmark-derived)</t>
        </is>
      </c>
      <c r="U52" s="3" t="inlineStr">
        <is>
          <t>1.0</t>
        </is>
      </c>
      <c r="V52" s="3" t="inlineStr">
        <is>
          <t>BSD 3-Clause License</t>
        </is>
      </c>
      <c r="W52" s="3" t="n">
        <v>305</v>
      </c>
      <c r="X52" s="3" t="n">
        <v>0.402</v>
      </c>
      <c r="Y52" s="3" t="n">
        <v>827</v>
      </c>
      <c r="Z52" s="3" t="n">
        <v>-0.157</v>
      </c>
      <c r="AA52" s="3" t="n">
        <v>129</v>
      </c>
      <c r="AB52" s="3" t="n">
        <v>0.112</v>
      </c>
      <c r="AC52" s="3" t="n">
        <v>143</v>
      </c>
      <c r="AD52" s="3" t="n">
        <v>-0.117</v>
      </c>
    </row>
    <row r="53" hidden="1">
      <c r="A53" s="3" t="inlineStr">
        <is>
          <t>TNP</t>
        </is>
      </c>
      <c r="B53" s="3" t="inlineStr">
        <is>
          <t>"hscale": 0=Kyte and Doolittle</t>
        </is>
      </c>
      <c r="C53" s="3" t="inlineStr">
        <is>
          <t>CDR3_length</t>
        </is>
      </c>
      <c r="D53" s="3" t="inlineStr">
        <is>
          <t>TNP CDR3 length-transformed</t>
        </is>
      </c>
      <c r="E53" s="3" t="inlineStr">
        <is>
          <t>Thermostability (onset)</t>
        </is>
      </c>
      <c r="F53" s="3">
        <f>A53&amp;"|"&amp;B53&amp;"|"&amp;C53&amp;"|"&amp;D53&amp;"|"&amp;E53</f>
        <v/>
      </c>
      <c r="G53" s="3">
        <f>COUNTIF($F$2:$F$191,F53)</f>
        <v/>
      </c>
      <c r="H53" s="3" t="n">
        <v>-0.005</v>
      </c>
      <c r="I53" s="3">
        <f>_xlfn.MINIFS($H$2:$H$191,$F$2:$F$191,F53)</f>
        <v/>
      </c>
      <c r="J53" s="3">
        <f>_xlfn.MAXIFS($H$2:$H$191,$F$2:$F$191,F53)</f>
        <v/>
      </c>
      <c r="K53" s="3">
        <f>IF(G53=1,"",IF(I53=J53,"EXACT_DUP","MISMATCH"))</f>
        <v/>
      </c>
      <c r="L53" s="3" t="n"/>
      <c r="M53" s="3" t="n">
        <v>1404</v>
      </c>
      <c r="N53" s="3" t="n">
        <v>0.496</v>
      </c>
      <c r="O53" s="3" t="n">
        <v>0.589</v>
      </c>
      <c r="P53" s="3" t="n">
        <v>0.324</v>
      </c>
      <c r="Q53" s="3" t="n">
        <v>0.549</v>
      </c>
      <c r="R53" s="3" t="n">
        <v>0.6909999999999999</v>
      </c>
      <c r="S53" s="3" t="n"/>
      <c r="T53" s="3" t="inlineStr">
        <is>
          <t>transformed (benchmark-derived)</t>
        </is>
      </c>
      <c r="U53" s="3" t="inlineStr">
        <is>
          <t>1.0</t>
        </is>
      </c>
      <c r="V53" s="3" t="inlineStr">
        <is>
          <t>BSD 3-Clause License</t>
        </is>
      </c>
      <c r="W53" s="3" t="n">
        <v>305</v>
      </c>
      <c r="X53" s="3" t="n">
        <v>-0.08400000000000001</v>
      </c>
      <c r="Y53" s="3" t="n">
        <v>827</v>
      </c>
      <c r="Z53" s="3" t="n">
        <v>0.111</v>
      </c>
      <c r="AA53" s="3" t="n">
        <v>129</v>
      </c>
      <c r="AB53" s="3" t="n">
        <v>-0.016</v>
      </c>
      <c r="AC53" s="3" t="n">
        <v>143</v>
      </c>
      <c r="AD53" s="3" t="n">
        <v>0.122</v>
      </c>
    </row>
    <row r="54" hidden="1">
      <c r="A54" s="3" t="inlineStr">
        <is>
          <t>TNP</t>
        </is>
      </c>
      <c r="B54" s="3" t="inlineStr">
        <is>
          <t>"hscale": 0=Kyte and Doolittle</t>
        </is>
      </c>
      <c r="C54" s="3" t="inlineStr">
        <is>
          <t>CDR3_length</t>
        </is>
      </c>
      <c r="D54" s="3" t="inlineStr">
        <is>
          <t>TNP CDR3 length</t>
        </is>
      </c>
      <c r="E54" s="3" t="inlineStr">
        <is>
          <t>Titer</t>
        </is>
      </c>
      <c r="F54" s="3">
        <f>A54&amp;"|"&amp;B54&amp;"|"&amp;C54&amp;"|"&amp;D54&amp;"|"&amp;E54</f>
        <v/>
      </c>
      <c r="G54" s="3">
        <f>COUNTIF($F$2:$F$191,F54)</f>
        <v/>
      </c>
      <c r="H54" s="3" t="n">
        <v>0.075</v>
      </c>
      <c r="I54" s="3">
        <f>_xlfn.MINIFS($H$2:$H$191,$F$2:$F$191,F54)</f>
        <v/>
      </c>
      <c r="J54" s="3">
        <f>_xlfn.MAXIFS($H$2:$H$191,$F$2:$F$191,F54)</f>
        <v/>
      </c>
      <c r="K54" s="3">
        <f>IF(G54=1,"",IF(I54=J54,"EXACT_DUP","MISMATCH"))</f>
        <v/>
      </c>
      <c r="L54" s="3" t="inlineStr">
        <is>
          <t>***</t>
        </is>
      </c>
      <c r="M54" s="3" t="n">
        <v>4062</v>
      </c>
      <c r="N54" s="3" t="n">
        <v>0.448</v>
      </c>
      <c r="O54" s="3" t="n">
        <v>0.306</v>
      </c>
      <c r="P54" s="3" t="n">
        <v>0.284</v>
      </c>
      <c r="Q54" s="3" t="n">
        <v>0.275</v>
      </c>
      <c r="R54" s="3" t="n">
        <v>0.377</v>
      </c>
      <c r="S54" s="3" t="n"/>
      <c r="T54" s="3" t="inlineStr">
        <is>
          <t>transformed (benchmark-derived)</t>
        </is>
      </c>
      <c r="U54" s="3" t="inlineStr">
        <is>
          <t>1.0</t>
        </is>
      </c>
      <c r="V54" s="3" t="inlineStr">
        <is>
          <t>BSD 3-Clause License</t>
        </is>
      </c>
      <c r="W54" s="3" t="n">
        <v>625</v>
      </c>
      <c r="X54" s="3" t="n">
        <v>0.322</v>
      </c>
      <c r="Y54" s="3" t="n">
        <v>2761</v>
      </c>
      <c r="Z54" s="3" t="n">
        <v>-0.092</v>
      </c>
      <c r="AA54" s="3" t="n">
        <v>255</v>
      </c>
      <c r="AB54" s="3" t="n">
        <v>0.619</v>
      </c>
      <c r="AC54" s="3" t="n">
        <v>421</v>
      </c>
      <c r="AD54" s="3" t="n">
        <v>0.018</v>
      </c>
    </row>
    <row r="55" hidden="1">
      <c r="A55" s="3" t="inlineStr">
        <is>
          <t>TNP</t>
        </is>
      </c>
      <c r="B55" s="3" t="inlineStr">
        <is>
          <t>"hscale": 0=Kyte and Doolittle</t>
        </is>
      </c>
      <c r="C55" s="3" t="inlineStr">
        <is>
          <t>CDR3_length</t>
        </is>
      </c>
      <c r="D55" s="3" t="inlineStr">
        <is>
          <t>TNP CDR3 length-transformed</t>
        </is>
      </c>
      <c r="E55" s="3" t="inlineStr">
        <is>
          <t>Titer</t>
        </is>
      </c>
      <c r="F55" s="3">
        <f>A55&amp;"|"&amp;B55&amp;"|"&amp;C55&amp;"|"&amp;D55&amp;"|"&amp;E55</f>
        <v/>
      </c>
      <c r="G55" s="3">
        <f>COUNTIF($F$2:$F$191,F55)</f>
        <v/>
      </c>
      <c r="H55" s="3" t="n">
        <v>0.057</v>
      </c>
      <c r="I55" s="3">
        <f>_xlfn.MINIFS($H$2:$H$191,$F$2:$F$191,F55)</f>
        <v/>
      </c>
      <c r="J55" s="3">
        <f>_xlfn.MAXIFS($H$2:$H$191,$F$2:$F$191,F55)</f>
        <v/>
      </c>
      <c r="K55" s="3">
        <f>IF(G55=1,"",IF(I55=J55,"EXACT_DUP","MISMATCH"))</f>
        <v/>
      </c>
      <c r="L55" s="3" t="inlineStr">
        <is>
          <t>***</t>
        </is>
      </c>
      <c r="M55" s="3" t="n">
        <v>4062</v>
      </c>
      <c r="N55" s="3" t="n">
        <v>0.467</v>
      </c>
      <c r="O55" s="3" t="n">
        <v>0.303</v>
      </c>
      <c r="P55" s="3" t="n">
        <v>0.24</v>
      </c>
      <c r="Q55" s="3" t="n">
        <v>0.269</v>
      </c>
      <c r="R55" s="3" t="n">
        <v>0.382</v>
      </c>
      <c r="S55" s="3" t="n"/>
      <c r="T55" s="3" t="inlineStr">
        <is>
          <t>transformed (benchmark-derived)</t>
        </is>
      </c>
      <c r="U55" s="3" t="inlineStr">
        <is>
          <t>1.0</t>
        </is>
      </c>
      <c r="V55" s="3" t="inlineStr">
        <is>
          <t>BSD 3-Clause License</t>
        </is>
      </c>
      <c r="W55" s="3" t="n">
        <v>625</v>
      </c>
      <c r="X55" s="3" t="n">
        <v>0.034</v>
      </c>
      <c r="Y55" s="3" t="n">
        <v>2761</v>
      </c>
      <c r="Z55" s="3" t="n">
        <v>0.064</v>
      </c>
      <c r="AA55" s="3" t="n">
        <v>255</v>
      </c>
      <c r="AB55" s="3" t="n">
        <v>-0.472</v>
      </c>
      <c r="AC55" s="3" t="n">
        <v>421</v>
      </c>
      <c r="AD55" s="3" t="n">
        <v>-0.021</v>
      </c>
    </row>
    <row r="56" hidden="1">
      <c r="A56" s="3" t="inlineStr">
        <is>
          <t>TNP</t>
        </is>
      </c>
      <c r="B56" s="3" t="inlineStr">
        <is>
          <t>"hscale": 0=Kyte and Doolittle</t>
        </is>
      </c>
      <c r="C56" s="3" t="inlineStr">
        <is>
          <t>total_CDR_length</t>
        </is>
      </c>
      <c r="D56" s="3" t="inlineStr">
        <is>
          <t>TNP Total CDR length-transformed</t>
        </is>
      </c>
      <c r="E56" s="3" t="inlineStr">
        <is>
          <t>Aggregation (Polydispersity idx)</t>
        </is>
      </c>
      <c r="F56" s="3">
        <f>A56&amp;"|"&amp;B56&amp;"|"&amp;C56&amp;"|"&amp;D56&amp;"|"&amp;E56</f>
        <v/>
      </c>
      <c r="G56" s="3">
        <f>COUNTIF($F$2:$F$191,F56)</f>
        <v/>
      </c>
      <c r="H56" s="3" t="n">
        <v>-0.046</v>
      </c>
      <c r="I56" s="3">
        <f>_xlfn.MINIFS($H$2:$H$191,$F$2:$F$191,F56)</f>
        <v/>
      </c>
      <c r="J56" s="3">
        <f>_xlfn.MAXIFS($H$2:$H$191,$F$2:$F$191,F56)</f>
        <v/>
      </c>
      <c r="K56" s="3">
        <f>IF(G56=1,"",IF(I56=J56,"EXACT_DUP","MISMATCH"))</f>
        <v/>
      </c>
      <c r="L56" s="3" t="n"/>
      <c r="M56" s="3" t="n">
        <v>1287</v>
      </c>
      <c r="N56" s="3" t="n">
        <v>0.536</v>
      </c>
      <c r="O56" s="3" t="n">
        <v>0.782</v>
      </c>
      <c r="P56" s="3" t="n">
        <v>0.754</v>
      </c>
      <c r="Q56" s="3" t="n">
        <v>0.6919999999999999</v>
      </c>
      <c r="R56" s="3" t="n">
        <v>0.846</v>
      </c>
      <c r="S56" s="3" t="n"/>
      <c r="T56" s="3" t="n"/>
      <c r="U56" s="3" t="inlineStr">
        <is>
          <t>1.0</t>
        </is>
      </c>
      <c r="V56" s="3" t="inlineStr">
        <is>
          <t>BSD 3-Clause License</t>
        </is>
      </c>
      <c r="W56" s="3" t="n">
        <v>313</v>
      </c>
      <c r="X56" s="3" t="n">
        <v>-0.186</v>
      </c>
      <c r="Y56" s="3" t="n">
        <v>720</v>
      </c>
      <c r="Z56" s="3" t="n">
        <v>-0.08400000000000001</v>
      </c>
      <c r="AA56" s="3" t="n">
        <v>120</v>
      </c>
      <c r="AB56" s="3" t="n">
        <v>0.044</v>
      </c>
      <c r="AC56" s="3" t="n">
        <v>134</v>
      </c>
      <c r="AD56" s="3" t="n">
        <v>-0.004</v>
      </c>
    </row>
    <row r="57" hidden="1">
      <c r="A57" s="3" t="inlineStr">
        <is>
          <t>TNP</t>
        </is>
      </c>
      <c r="B57" s="3" t="inlineStr">
        <is>
          <t>"hscale": 0=Kyte and Doolittle</t>
        </is>
      </c>
      <c r="C57" s="3" t="inlineStr">
        <is>
          <t>total_CDR_length</t>
        </is>
      </c>
      <c r="D57" s="3" t="inlineStr">
        <is>
          <t>TNP Total CDR length</t>
        </is>
      </c>
      <c r="E57" s="3" t="inlineStr">
        <is>
          <t>Aggregation (Polydispersity idx)</t>
        </is>
      </c>
      <c r="F57" s="3">
        <f>A57&amp;"|"&amp;B57&amp;"|"&amp;C57&amp;"|"&amp;D57&amp;"|"&amp;E57</f>
        <v/>
      </c>
      <c r="G57" s="3">
        <f>COUNTIF($F$2:$F$191,F57)</f>
        <v/>
      </c>
      <c r="H57" s="3" t="n">
        <v>0.004</v>
      </c>
      <c r="I57" s="3">
        <f>_xlfn.MINIFS($H$2:$H$191,$F$2:$F$191,F57)</f>
        <v/>
      </c>
      <c r="J57" s="3">
        <f>_xlfn.MAXIFS($H$2:$H$191,$F$2:$F$191,F57)</f>
        <v/>
      </c>
      <c r="K57" s="3">
        <f>IF(G57=1,"",IF(I57=J57,"EXACT_DUP","MISMATCH"))</f>
        <v/>
      </c>
      <c r="L57" s="3" t="n"/>
      <c r="M57" s="3" t="n">
        <v>1287</v>
      </c>
      <c r="N57" s="3" t="n">
        <v>0.52</v>
      </c>
      <c r="O57" s="3" t="n">
        <v>0.787</v>
      </c>
      <c r="P57" s="3" t="n">
        <v>0.862</v>
      </c>
      <c r="Q57" s="3" t="n">
        <v>0.677</v>
      </c>
      <c r="R57" s="3" t="n">
        <v>0.862</v>
      </c>
      <c r="S57" s="3" t="n"/>
      <c r="T57" s="3" t="n"/>
      <c r="U57" s="3" t="inlineStr">
        <is>
          <t>1.0</t>
        </is>
      </c>
      <c r="V57" s="3" t="inlineStr">
        <is>
          <t>BSD 3-Clause License</t>
        </is>
      </c>
      <c r="W57" s="3" t="n">
        <v>313</v>
      </c>
      <c r="X57" s="3" t="n">
        <v>-0.351</v>
      </c>
      <c r="Y57" s="3" t="n">
        <v>720</v>
      </c>
      <c r="Z57" s="3" t="n">
        <v>0.09</v>
      </c>
      <c r="AA57" s="3" t="n">
        <v>120</v>
      </c>
      <c r="AB57" s="3" t="n">
        <v>-0.153</v>
      </c>
      <c r="AC57" s="3" t="n">
        <v>134</v>
      </c>
      <c r="AD57" s="3" t="n">
        <v>0.022</v>
      </c>
    </row>
    <row r="58" hidden="1">
      <c r="A58" s="3" t="inlineStr">
        <is>
          <t>TNP</t>
        </is>
      </c>
      <c r="B58" s="3" t="inlineStr">
        <is>
          <t>"hscale": 0=Kyte and Doolittle</t>
        </is>
      </c>
      <c r="C58" s="3" t="inlineStr">
        <is>
          <t>total_CDR_length</t>
        </is>
      </c>
      <c r="D58" s="3" t="inlineStr">
        <is>
          <t>TNP Total CDR length-transformed</t>
        </is>
      </c>
      <c r="E58" s="3" t="inlineStr">
        <is>
          <t>Analytical Size Exclusion Chromatography</t>
        </is>
      </c>
      <c r="F58" s="3">
        <f>A58&amp;"|"&amp;B58&amp;"|"&amp;C58&amp;"|"&amp;D58&amp;"|"&amp;E58</f>
        <v/>
      </c>
      <c r="G58" s="3">
        <f>COUNTIF($F$2:$F$191,F58)</f>
        <v/>
      </c>
      <c r="H58" s="3" t="n">
        <v>0.173</v>
      </c>
      <c r="I58" s="3">
        <f>_xlfn.MINIFS($H$2:$H$191,$F$2:$F$191,F58)</f>
        <v/>
      </c>
      <c r="J58" s="3">
        <f>_xlfn.MAXIFS($H$2:$H$191,$F$2:$F$191,F58)</f>
        <v/>
      </c>
      <c r="K58" s="3">
        <f>IF(G58=1,"",IF(I58=J58,"EXACT_DUP","MISMATCH"))</f>
        <v/>
      </c>
      <c r="L58" s="3" t="inlineStr">
        <is>
          <t>***</t>
        </is>
      </c>
      <c r="M58" s="3" t="n">
        <v>1447</v>
      </c>
      <c r="N58" s="3" t="n">
        <v>0.433</v>
      </c>
      <c r="O58" s="3" t="n">
        <v>0.572</v>
      </c>
      <c r="P58" s="3" t="n">
        <v>0.671</v>
      </c>
      <c r="Q58" s="3" t="n">
        <v>0.521</v>
      </c>
      <c r="R58" s="3" t="n">
        <v>0.712</v>
      </c>
      <c r="S58" s="3" t="n"/>
      <c r="T58" s="3" t="n"/>
      <c r="U58" s="3" t="inlineStr">
        <is>
          <t>1.0</t>
        </is>
      </c>
      <c r="V58" s="3" t="inlineStr">
        <is>
          <t>BSD 3-Clause License</t>
        </is>
      </c>
      <c r="W58" s="3" t="n">
        <v>336</v>
      </c>
      <c r="X58" s="3" t="n">
        <v>0.074</v>
      </c>
      <c r="Y58" s="3" t="n">
        <v>823</v>
      </c>
      <c r="Z58" s="3" t="n">
        <v>0.106</v>
      </c>
      <c r="AA58" s="3" t="n">
        <v>137</v>
      </c>
      <c r="AB58" s="3" t="n">
        <v>0.001</v>
      </c>
      <c r="AC58" s="3" t="n">
        <v>151</v>
      </c>
      <c r="AD58" s="3" t="n">
        <v>-0.202</v>
      </c>
    </row>
    <row r="59" hidden="1">
      <c r="A59" s="3" t="inlineStr">
        <is>
          <t>TNP</t>
        </is>
      </c>
      <c r="B59" s="3" t="inlineStr">
        <is>
          <t>"hscale": 0=Kyte and Doolittle</t>
        </is>
      </c>
      <c r="C59" s="3" t="inlineStr">
        <is>
          <t>total_CDR_length</t>
        </is>
      </c>
      <c r="D59" s="3" t="inlineStr">
        <is>
          <t>TNP Total CDR length</t>
        </is>
      </c>
      <c r="E59" s="3" t="inlineStr">
        <is>
          <t>Analytical Size Exclusion Chromatography</t>
        </is>
      </c>
      <c r="F59" s="3">
        <f>A59&amp;"|"&amp;B59&amp;"|"&amp;C59&amp;"|"&amp;D59&amp;"|"&amp;E59</f>
        <v/>
      </c>
      <c r="G59" s="3">
        <f>COUNTIF($F$2:$F$191,F59)</f>
        <v/>
      </c>
      <c r="H59" s="3" t="n">
        <v>-0.005</v>
      </c>
      <c r="I59" s="3">
        <f>_xlfn.MINIFS($H$2:$H$191,$F$2:$F$191,F59)</f>
        <v/>
      </c>
      <c r="J59" s="3">
        <f>_xlfn.MAXIFS($H$2:$H$191,$F$2:$F$191,F59)</f>
        <v/>
      </c>
      <c r="K59" s="3">
        <f>IF(G59=1,"",IF(I59=J59,"EXACT_DUP","MISMATCH"))</f>
        <v/>
      </c>
      <c r="L59" s="3" t="n"/>
      <c r="M59" s="3" t="n">
        <v>1447</v>
      </c>
      <c r="N59" s="3" t="n">
        <v>0.522</v>
      </c>
      <c r="O59" s="3" t="n">
        <v>0.62</v>
      </c>
      <c r="P59" s="3" t="n">
        <v>0.63</v>
      </c>
      <c r="Q59" s="3" t="n">
        <v>0.507</v>
      </c>
      <c r="R59" s="3" t="n">
        <v>0.712</v>
      </c>
      <c r="S59" s="3" t="n"/>
      <c r="T59" s="3" t="n"/>
      <c r="U59" s="3" t="inlineStr">
        <is>
          <t>1.0</t>
        </is>
      </c>
      <c r="V59" s="3" t="inlineStr">
        <is>
          <t>BSD 3-Clause License</t>
        </is>
      </c>
      <c r="W59" s="3" t="n">
        <v>336</v>
      </c>
      <c r="X59" s="3" t="n">
        <v>0.201</v>
      </c>
      <c r="Y59" s="3" t="n">
        <v>823</v>
      </c>
      <c r="Z59" s="3" t="n">
        <v>-0.067</v>
      </c>
      <c r="AA59" s="3" t="n">
        <v>137</v>
      </c>
      <c r="AB59" s="3" t="n">
        <v>0.166</v>
      </c>
      <c r="AC59" s="3" t="n">
        <v>151</v>
      </c>
      <c r="AD59" s="3" t="n">
        <v>0.271</v>
      </c>
    </row>
    <row r="60" hidden="1">
      <c r="A60" s="3" t="inlineStr">
        <is>
          <t>TNP</t>
        </is>
      </c>
      <c r="B60" s="3" t="inlineStr">
        <is>
          <t>"hscale": 0=Kyte and Doolittle</t>
        </is>
      </c>
      <c r="C60" s="3" t="inlineStr">
        <is>
          <t>total_CDR_length</t>
        </is>
      </c>
      <c r="D60" s="3" t="inlineStr">
        <is>
          <t>TNP Total CDR length</t>
        </is>
      </c>
      <c r="E60" s="3" t="inlineStr">
        <is>
          <t>Hydrophobicity</t>
        </is>
      </c>
      <c r="F60" s="3">
        <f>A60&amp;"|"&amp;B60&amp;"|"&amp;C60&amp;"|"&amp;D60&amp;"|"&amp;E60</f>
        <v/>
      </c>
      <c r="G60" s="3">
        <f>COUNTIF($F$2:$F$191,F60)</f>
        <v/>
      </c>
      <c r="H60" s="3" t="n">
        <v>-0.18</v>
      </c>
      <c r="I60" s="3">
        <f>_xlfn.MINIFS($H$2:$H$191,$F$2:$F$191,F60)</f>
        <v/>
      </c>
      <c r="J60" s="3">
        <f>_xlfn.MAXIFS($H$2:$H$191,$F$2:$F$191,F60)</f>
        <v/>
      </c>
      <c r="K60" s="3">
        <f>IF(G60=1,"",IF(I60=J60,"EXACT_DUP","MISMATCH"))</f>
        <v/>
      </c>
      <c r="L60" s="3" t="inlineStr">
        <is>
          <t>***</t>
        </is>
      </c>
      <c r="M60" s="3" t="n">
        <v>1294</v>
      </c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1.0</t>
        </is>
      </c>
      <c r="V60" s="3" t="inlineStr">
        <is>
          <t>BSD 3-Clause License</t>
        </is>
      </c>
      <c r="W60" s="3" t="n">
        <v>314</v>
      </c>
      <c r="X60" s="3" t="n">
        <v>-0.138</v>
      </c>
      <c r="Y60" s="3" t="n">
        <v>723</v>
      </c>
      <c r="Z60" s="3" t="n">
        <v>-0.067</v>
      </c>
      <c r="AA60" s="3" t="n">
        <v>122</v>
      </c>
      <c r="AB60" s="3" t="n">
        <v>-0.216</v>
      </c>
      <c r="AC60" s="3" t="n">
        <v>135</v>
      </c>
      <c r="AD60" s="3" t="n">
        <v>0.081</v>
      </c>
    </row>
    <row r="61" hidden="1">
      <c r="A61" s="3" t="inlineStr">
        <is>
          <t>TNP</t>
        </is>
      </c>
      <c r="B61" s="3" t="inlineStr">
        <is>
          <t>"hscale": 0=Kyte and Doolittle</t>
        </is>
      </c>
      <c r="C61" s="3" t="inlineStr">
        <is>
          <t>total_CDR_length</t>
        </is>
      </c>
      <c r="D61" s="3" t="inlineStr">
        <is>
          <t>TNP Total CDR length-transformed</t>
        </is>
      </c>
      <c r="E61" s="3" t="inlineStr">
        <is>
          <t>Hydrophobicity</t>
        </is>
      </c>
      <c r="F61" s="3">
        <f>A61&amp;"|"&amp;B61&amp;"|"&amp;C61&amp;"|"&amp;D61&amp;"|"&amp;E61</f>
        <v/>
      </c>
      <c r="G61" s="3">
        <f>COUNTIF($F$2:$F$191,F61)</f>
        <v/>
      </c>
      <c r="H61" s="3" t="n">
        <v>0.059</v>
      </c>
      <c r="I61" s="3">
        <f>_xlfn.MINIFS($H$2:$H$191,$F$2:$F$191,F61)</f>
        <v/>
      </c>
      <c r="J61" s="3">
        <f>_xlfn.MAXIFS($H$2:$H$191,$F$2:$F$191,F61)</f>
        <v/>
      </c>
      <c r="K61" s="3">
        <f>IF(G61=1,"",IF(I61=J61,"EXACT_DUP","MISMATCH"))</f>
        <v/>
      </c>
      <c r="L61" s="3" t="inlineStr">
        <is>
          <t>*</t>
        </is>
      </c>
      <c r="M61" s="3" t="n">
        <v>1294</v>
      </c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1.0</t>
        </is>
      </c>
      <c r="V61" s="3" t="inlineStr">
        <is>
          <t>BSD 3-Clause License</t>
        </is>
      </c>
      <c r="W61" s="3" t="n">
        <v>314</v>
      </c>
      <c r="X61" s="3" t="n">
        <v>0.193</v>
      </c>
      <c r="Y61" s="3" t="n">
        <v>723</v>
      </c>
      <c r="Z61" s="3" t="n">
        <v>-0.08500000000000001</v>
      </c>
      <c r="AA61" s="3" t="n">
        <v>122</v>
      </c>
      <c r="AB61" s="3" t="n">
        <v>-0.12</v>
      </c>
      <c r="AC61" s="3" t="n">
        <v>135</v>
      </c>
      <c r="AD61" s="3" t="n">
        <v>-0.315</v>
      </c>
    </row>
    <row r="62" hidden="1">
      <c r="A62" s="3" t="inlineStr">
        <is>
          <t>TNP</t>
        </is>
      </c>
      <c r="B62" s="3" t="inlineStr">
        <is>
          <t>"hscale": 0=Kyte and Doolittle</t>
        </is>
      </c>
      <c r="C62" s="3" t="inlineStr">
        <is>
          <t>total_CDR_length</t>
        </is>
      </c>
      <c r="D62" s="3" t="inlineStr">
        <is>
          <t>TNP Total CDR length</t>
        </is>
      </c>
      <c r="E62" s="3" t="inlineStr">
        <is>
          <t>Polyreactivity (absorbance)</t>
        </is>
      </c>
      <c r="F62" s="3">
        <f>A62&amp;"|"&amp;B62&amp;"|"&amp;C62&amp;"|"&amp;D62&amp;"|"&amp;E62</f>
        <v/>
      </c>
      <c r="G62" s="3">
        <f>COUNTIF($F$2:$F$191,F62)</f>
        <v/>
      </c>
      <c r="H62" s="3" t="n">
        <v>0.182</v>
      </c>
      <c r="I62" s="3">
        <f>_xlfn.MINIFS($H$2:$H$191,$F$2:$F$191,F62)</f>
        <v/>
      </c>
      <c r="J62" s="3">
        <f>_xlfn.MAXIFS($H$2:$H$191,$F$2:$F$191,F62)</f>
        <v/>
      </c>
      <c r="K62" s="3">
        <f>IF(G62=1,"",IF(I62=J62,"EXACT_DUP","MISMATCH"))</f>
        <v/>
      </c>
      <c r="L62" s="3" t="inlineStr">
        <is>
          <t>***</t>
        </is>
      </c>
      <c r="M62" s="3" t="n">
        <v>1294</v>
      </c>
      <c r="N62" s="3" t="n">
        <v>0.406</v>
      </c>
      <c r="O62" s="3" t="n">
        <v>0.624</v>
      </c>
      <c r="P62" s="3" t="n">
        <v>0.462</v>
      </c>
      <c r="Q62" s="3" t="n">
        <v>0.6</v>
      </c>
      <c r="R62" s="3" t="n">
        <v>0.77</v>
      </c>
      <c r="S62" s="3" t="n"/>
      <c r="T62" s="3" t="n"/>
      <c r="U62" s="3" t="inlineStr">
        <is>
          <t>1.0</t>
        </is>
      </c>
      <c r="V62" s="3" t="inlineStr">
        <is>
          <t>BSD 3-Clause License</t>
        </is>
      </c>
      <c r="W62" s="3" t="n">
        <v>314</v>
      </c>
      <c r="X62" s="3" t="n">
        <v>0.292</v>
      </c>
      <c r="Y62" s="3" t="n">
        <v>723</v>
      </c>
      <c r="Z62" s="3" t="n">
        <v>0.055</v>
      </c>
      <c r="AA62" s="3" t="n">
        <v>122</v>
      </c>
      <c r="AB62" s="3" t="n">
        <v>-0.054</v>
      </c>
      <c r="AC62" s="3" t="n">
        <v>135</v>
      </c>
      <c r="AD62" s="3" t="n">
        <v>-0.179</v>
      </c>
    </row>
    <row r="63" hidden="1">
      <c r="A63" s="3" t="inlineStr">
        <is>
          <t>TNP</t>
        </is>
      </c>
      <c r="B63" s="3" t="inlineStr">
        <is>
          <t>"hscale": 0=Kyte and Doolittle</t>
        </is>
      </c>
      <c r="C63" s="3" t="inlineStr">
        <is>
          <t>total_CDR_length</t>
        </is>
      </c>
      <c r="D63" s="3" t="inlineStr">
        <is>
          <t>TNP Total CDR length-transformed</t>
        </is>
      </c>
      <c r="E63" s="3" t="inlineStr">
        <is>
          <t>Polyreactivity (absorbance)</t>
        </is>
      </c>
      <c r="F63" s="3">
        <f>A63&amp;"|"&amp;B63&amp;"|"&amp;C63&amp;"|"&amp;D63&amp;"|"&amp;E63</f>
        <v/>
      </c>
      <c r="G63" s="3">
        <f>COUNTIF($F$2:$F$191,F63)</f>
        <v/>
      </c>
      <c r="H63" s="3" t="n">
        <v>0.043</v>
      </c>
      <c r="I63" s="3">
        <f>_xlfn.MINIFS($H$2:$H$191,$F$2:$F$191,F63)</f>
        <v/>
      </c>
      <c r="J63" s="3">
        <f>_xlfn.MAXIFS($H$2:$H$191,$F$2:$F$191,F63)</f>
        <v/>
      </c>
      <c r="K63" s="3">
        <f>IF(G63=1,"",IF(I63=J63,"EXACT_DUP","MISMATCH"))</f>
        <v/>
      </c>
      <c r="L63" s="3" t="n"/>
      <c r="M63" s="3" t="n">
        <v>1294</v>
      </c>
      <c r="N63" s="3" t="n">
        <v>0.477</v>
      </c>
      <c r="O63" s="3" t="n">
        <v>0.679</v>
      </c>
      <c r="P63" s="3" t="n">
        <v>0.708</v>
      </c>
      <c r="Q63" s="3" t="n">
        <v>0.584</v>
      </c>
      <c r="R63" s="3" t="n">
        <v>0.755</v>
      </c>
      <c r="S63" s="3" t="n"/>
      <c r="T63" s="3" t="n"/>
      <c r="U63" s="3" t="inlineStr">
        <is>
          <t>1.0</t>
        </is>
      </c>
      <c r="V63" s="3" t="inlineStr">
        <is>
          <t>BSD 3-Clause License</t>
        </is>
      </c>
      <c r="W63" s="3" t="n">
        <v>314</v>
      </c>
      <c r="X63" s="3" t="n">
        <v>0.031</v>
      </c>
      <c r="Y63" s="3" t="n">
        <v>723</v>
      </c>
      <c r="Z63" s="3" t="n">
        <v>0.082</v>
      </c>
      <c r="AA63" s="3" t="n">
        <v>122</v>
      </c>
      <c r="AB63" s="3" t="n">
        <v>0.054</v>
      </c>
      <c r="AC63" s="3" t="n">
        <v>135</v>
      </c>
      <c r="AD63" s="3" t="n">
        <v>0.23</v>
      </c>
    </row>
    <row r="64" hidden="1">
      <c r="A64" s="3" t="inlineStr">
        <is>
          <t>TNP</t>
        </is>
      </c>
      <c r="B64" s="3" t="inlineStr">
        <is>
          <t>"hscale": 0=Kyte and Doolittle</t>
        </is>
      </c>
      <c r="C64" s="3" t="inlineStr">
        <is>
          <t>total_CDR_length</t>
        </is>
      </c>
      <c r="D64" s="3" t="inlineStr">
        <is>
          <t>TNP Total CDR length</t>
        </is>
      </c>
      <c r="E64" s="3" t="inlineStr">
        <is>
          <t>Thermostability (Tm1)</t>
        </is>
      </c>
      <c r="F64" s="3">
        <f>A64&amp;"|"&amp;B64&amp;"|"&amp;C64&amp;"|"&amp;D64&amp;"|"&amp;E64</f>
        <v/>
      </c>
      <c r="G64" s="3">
        <f>COUNTIF($F$2:$F$191,F64)</f>
        <v/>
      </c>
      <c r="H64" s="3" t="n">
        <v>-0.117</v>
      </c>
      <c r="I64" s="3">
        <f>_xlfn.MINIFS($H$2:$H$191,$F$2:$F$191,F64)</f>
        <v/>
      </c>
      <c r="J64" s="3">
        <f>_xlfn.MAXIFS($H$2:$H$191,$F$2:$F$191,F64)</f>
        <v/>
      </c>
      <c r="K64" s="3">
        <f>IF(G64=1,"",IF(I64=J64,"EXACT_DUP","MISMATCH"))</f>
        <v/>
      </c>
      <c r="L64" s="3" t="inlineStr">
        <is>
          <t>***</t>
        </is>
      </c>
      <c r="M64" s="3" t="n">
        <v>1406</v>
      </c>
      <c r="N64" s="3" t="n">
        <v>0.538</v>
      </c>
      <c r="O64" s="3" t="n">
        <v>0.583</v>
      </c>
      <c r="P64" s="3" t="n">
        <v>0.38</v>
      </c>
      <c r="Q64" s="3" t="n">
        <v>0.479</v>
      </c>
      <c r="R64" s="3" t="n">
        <v>0.6899999999999999</v>
      </c>
      <c r="S64" s="3" t="n"/>
      <c r="T64" s="3" t="n"/>
      <c r="U64" s="3" t="inlineStr">
        <is>
          <t>1.0</t>
        </is>
      </c>
      <c r="V64" s="3" t="inlineStr">
        <is>
          <t>BSD 3-Clause License</t>
        </is>
      </c>
      <c r="W64" s="3" t="n">
        <v>305</v>
      </c>
      <c r="X64" s="3" t="n">
        <v>0.331</v>
      </c>
      <c r="Y64" s="3" t="n">
        <v>829</v>
      </c>
      <c r="Z64" s="3" t="n">
        <v>-0.187</v>
      </c>
      <c r="AA64" s="3" t="n">
        <v>129</v>
      </c>
      <c r="AB64" s="3" t="n">
        <v>0.09</v>
      </c>
      <c r="AC64" s="3" t="n">
        <v>143</v>
      </c>
      <c r="AD64" s="3" t="n">
        <v>-0.114</v>
      </c>
    </row>
    <row r="65" hidden="1">
      <c r="A65" s="3" t="inlineStr">
        <is>
          <t>TNP</t>
        </is>
      </c>
      <c r="B65" s="3" t="inlineStr">
        <is>
          <t>"hscale": 0=Kyte and Doolittle</t>
        </is>
      </c>
      <c r="C65" s="3" t="inlineStr">
        <is>
          <t>total_CDR_length</t>
        </is>
      </c>
      <c r="D65" s="3" t="inlineStr">
        <is>
          <t>TNP Total CDR length-transformed</t>
        </is>
      </c>
      <c r="E65" s="3" t="inlineStr">
        <is>
          <t>Thermostability (Tm1)</t>
        </is>
      </c>
      <c r="F65" s="3">
        <f>A65&amp;"|"&amp;B65&amp;"|"&amp;C65&amp;"|"&amp;D65&amp;"|"&amp;E65</f>
        <v/>
      </c>
      <c r="G65" s="3">
        <f>COUNTIF($F$2:$F$191,F65)</f>
        <v/>
      </c>
      <c r="H65" s="3" t="n">
        <v>-0.053</v>
      </c>
      <c r="I65" s="3">
        <f>_xlfn.MINIFS($H$2:$H$191,$F$2:$F$191,F65)</f>
        <v/>
      </c>
      <c r="J65" s="3">
        <f>_xlfn.MAXIFS($H$2:$H$191,$F$2:$F$191,F65)</f>
        <v/>
      </c>
      <c r="K65" s="3">
        <f>IF(G65=1,"",IF(I65=J65,"EXACT_DUP","MISMATCH"))</f>
        <v/>
      </c>
      <c r="L65" s="3" t="inlineStr">
        <is>
          <t>*</t>
        </is>
      </c>
      <c r="M65" s="3" t="n">
        <v>1406</v>
      </c>
      <c r="N65" s="3" t="n">
        <v>0.531</v>
      </c>
      <c r="O65" s="3" t="n">
        <v>0.584</v>
      </c>
      <c r="P65" s="3" t="n">
        <v>0.437</v>
      </c>
      <c r="Q65" s="3" t="n">
        <v>0.493</v>
      </c>
      <c r="R65" s="3" t="n">
        <v>0.663</v>
      </c>
      <c r="S65" s="3" t="n"/>
      <c r="T65" s="3" t="n"/>
      <c r="U65" s="3" t="inlineStr">
        <is>
          <t>1.0</t>
        </is>
      </c>
      <c r="V65" s="3" t="inlineStr">
        <is>
          <t>BSD 3-Clause License</t>
        </is>
      </c>
      <c r="W65" s="3" t="n">
        <v>305</v>
      </c>
      <c r="X65" s="3" t="n">
        <v>-0.181</v>
      </c>
      <c r="Y65" s="3" t="n">
        <v>829</v>
      </c>
      <c r="Z65" s="3" t="n">
        <v>0.098</v>
      </c>
      <c r="AA65" s="3" t="n">
        <v>129</v>
      </c>
      <c r="AB65" s="3" t="n">
        <v>-0.031</v>
      </c>
      <c r="AC65" s="3" t="n">
        <v>143</v>
      </c>
      <c r="AD65" s="3" t="n">
        <v>0.006</v>
      </c>
    </row>
    <row r="66" hidden="1">
      <c r="A66" s="3" t="inlineStr">
        <is>
          <t>TNP</t>
        </is>
      </c>
      <c r="B66" s="3" t="inlineStr">
        <is>
          <t>"hscale": 0=Kyte and Doolittle</t>
        </is>
      </c>
      <c r="C66" s="3" t="inlineStr">
        <is>
          <t>total_CDR_length</t>
        </is>
      </c>
      <c r="D66" s="3" t="inlineStr">
        <is>
          <t>TNP Total CDR length-transformed</t>
        </is>
      </c>
      <c r="E66" s="3" t="inlineStr">
        <is>
          <t>Thermostability (Tm2)</t>
        </is>
      </c>
      <c r="F66" s="3">
        <f>A66&amp;"|"&amp;B66&amp;"|"&amp;C66&amp;"|"&amp;D66&amp;"|"&amp;E66</f>
        <v/>
      </c>
      <c r="G66" s="3">
        <f>COUNTIF($F$2:$F$191,F66)</f>
        <v/>
      </c>
      <c r="H66" s="3" t="n">
        <v>-0.073</v>
      </c>
      <c r="I66" s="3">
        <f>_xlfn.MINIFS($H$2:$H$191,$F$2:$F$191,F66)</f>
        <v/>
      </c>
      <c r="J66" s="3">
        <f>_xlfn.MAXIFS($H$2:$H$191,$F$2:$F$191,F66)</f>
        <v/>
      </c>
      <c r="K66" s="3">
        <f>IF(G66=1,"",IF(I66=J66,"EXACT_DUP","MISMATCH"))</f>
        <v/>
      </c>
      <c r="L66" s="3" t="inlineStr">
        <is>
          <t>*</t>
        </is>
      </c>
      <c r="M66" s="3" t="n">
        <v>1094</v>
      </c>
      <c r="N66" s="3" t="n">
        <v>0.509</v>
      </c>
      <c r="O66" s="3" t="n">
        <v>0.636</v>
      </c>
      <c r="P66" s="3" t="n">
        <v>0.473</v>
      </c>
      <c r="Q66" s="3" t="n">
        <v>0.526</v>
      </c>
      <c r="R66" s="3" t="n">
        <v>0.709</v>
      </c>
      <c r="S66" s="3" t="n"/>
      <c r="T66" s="3" t="n"/>
      <c r="U66" s="3" t="inlineStr">
        <is>
          <t>1.0</t>
        </is>
      </c>
      <c r="V66" s="3" t="inlineStr">
        <is>
          <t>BSD 3-Clause License</t>
        </is>
      </c>
      <c r="W66" s="3" t="n">
        <v>276</v>
      </c>
      <c r="X66" s="3" t="n">
        <v>-0.138</v>
      </c>
      <c r="Y66" s="3" t="n">
        <v>575</v>
      </c>
      <c r="Z66" s="3" t="n">
        <v>0.022</v>
      </c>
      <c r="AA66" s="3" t="n">
        <v>126</v>
      </c>
      <c r="AB66" s="3" t="n">
        <v>-0.074</v>
      </c>
      <c r="AC66" s="3" t="n">
        <v>117</v>
      </c>
      <c r="AD66" s="3" t="n">
        <v>-0.17</v>
      </c>
    </row>
    <row r="67" hidden="1">
      <c r="A67" s="3" t="inlineStr">
        <is>
          <t>TNP</t>
        </is>
      </c>
      <c r="B67" s="3" t="inlineStr">
        <is>
          <t>"hscale": 0=Kyte and Doolittle</t>
        </is>
      </c>
      <c r="C67" s="3" t="inlineStr">
        <is>
          <t>total_CDR_length</t>
        </is>
      </c>
      <c r="D67" s="3" t="inlineStr">
        <is>
          <t>TNP Total CDR length</t>
        </is>
      </c>
      <c r="E67" s="3" t="inlineStr">
        <is>
          <t>Thermostability (Tm2)</t>
        </is>
      </c>
      <c r="F67" s="3">
        <f>A67&amp;"|"&amp;B67&amp;"|"&amp;C67&amp;"|"&amp;D67&amp;"|"&amp;E67</f>
        <v/>
      </c>
      <c r="G67" s="3">
        <f>COUNTIF($F$2:$F$191,F67)</f>
        <v/>
      </c>
      <c r="H67" s="3" t="n">
        <v>0.033</v>
      </c>
      <c r="I67" s="3">
        <f>_xlfn.MINIFS($H$2:$H$191,$F$2:$F$191,F67)</f>
        <v/>
      </c>
      <c r="J67" s="3">
        <f>_xlfn.MAXIFS($H$2:$H$191,$F$2:$F$191,F67)</f>
        <v/>
      </c>
      <c r="K67" s="3">
        <f>IF(G67=1,"",IF(I67=J67,"EXACT_DUP","MISMATCH"))</f>
        <v/>
      </c>
      <c r="L67" s="3" t="n"/>
      <c r="M67" s="3" t="n">
        <v>1094</v>
      </c>
      <c r="N67" s="3" t="n">
        <v>0.507</v>
      </c>
      <c r="O67" s="3" t="n">
        <v>0.635</v>
      </c>
      <c r="P67" s="3" t="n">
        <v>0.673</v>
      </c>
      <c r="Q67" s="3" t="n">
        <v>0.509</v>
      </c>
      <c r="R67" s="3" t="n">
        <v>0.728</v>
      </c>
      <c r="S67" s="3" t="n"/>
      <c r="T67" s="3" t="n"/>
      <c r="U67" s="3" t="inlineStr">
        <is>
          <t>1.0</t>
        </is>
      </c>
      <c r="V67" s="3" t="inlineStr">
        <is>
          <t>BSD 3-Clause License</t>
        </is>
      </c>
      <c r="W67" s="3" t="n">
        <v>276</v>
      </c>
      <c r="X67" s="3" t="n">
        <v>0.306</v>
      </c>
      <c r="Y67" s="3" t="n">
        <v>575</v>
      </c>
      <c r="Z67" s="3" t="n">
        <v>-0.068</v>
      </c>
      <c r="AA67" s="3" t="n">
        <v>126</v>
      </c>
      <c r="AB67" s="3" t="n">
        <v>0.031</v>
      </c>
      <c r="AC67" s="3" t="n">
        <v>117</v>
      </c>
      <c r="AD67" s="3" t="n">
        <v>0.092</v>
      </c>
    </row>
    <row r="68" hidden="1">
      <c r="A68" s="3" t="inlineStr">
        <is>
          <t>TNP</t>
        </is>
      </c>
      <c r="B68" s="3" t="inlineStr">
        <is>
          <t>"hscale": 0=Kyte and Doolittle</t>
        </is>
      </c>
      <c r="C68" s="3" t="inlineStr">
        <is>
          <t>total_CDR_length</t>
        </is>
      </c>
      <c r="D68" s="3" t="inlineStr">
        <is>
          <t>TNP Total CDR length</t>
        </is>
      </c>
      <c r="E68" s="3" t="inlineStr">
        <is>
          <t>Thermostability (Tm3)</t>
        </is>
      </c>
      <c r="F68" s="3">
        <f>A68&amp;"|"&amp;B68&amp;"|"&amp;C68&amp;"|"&amp;D68&amp;"|"&amp;E68</f>
        <v/>
      </c>
      <c r="G68" s="3">
        <f>COUNTIF($F$2:$F$191,F68)</f>
        <v/>
      </c>
      <c r="H68" s="3" t="n">
        <v>0.176</v>
      </c>
      <c r="I68" s="3">
        <f>_xlfn.MINIFS($H$2:$H$191,$F$2:$F$191,F68)</f>
        <v/>
      </c>
      <c r="J68" s="3">
        <f>_xlfn.MAXIFS($H$2:$H$191,$F$2:$F$191,F68)</f>
        <v/>
      </c>
      <c r="K68" s="3">
        <f>IF(G68=1,"",IF(I68=J68,"EXACT_DUP","MISMATCH"))</f>
        <v/>
      </c>
      <c r="L68" s="3" t="inlineStr">
        <is>
          <t>*</t>
        </is>
      </c>
      <c r="M68" s="3" t="n">
        <v>177</v>
      </c>
      <c r="N68" s="3" t="n">
        <v>0.441</v>
      </c>
      <c r="O68" s="3" t="n">
        <v>0.374</v>
      </c>
      <c r="P68" s="3" t="n">
        <v>0.111</v>
      </c>
      <c r="Q68" s="3" t="n">
        <v>0.333</v>
      </c>
      <c r="R68" s="3" t="n">
        <v>0.778</v>
      </c>
      <c r="S68" s="3" t="n"/>
      <c r="T68" s="3" t="n"/>
      <c r="U68" s="3" t="inlineStr">
        <is>
          <t>1.0</t>
        </is>
      </c>
      <c r="V68" s="3" t="inlineStr">
        <is>
          <t>BSD 3-Clause License</t>
        </is>
      </c>
      <c r="W68" s="3" t="n">
        <v>80</v>
      </c>
      <c r="X68" s="3" t="n">
        <v>0.425</v>
      </c>
      <c r="Y68" s="3" t="n">
        <v>38</v>
      </c>
      <c r="Z68" s="3" t="n">
        <v>-0.207</v>
      </c>
      <c r="AA68" s="3" t="n">
        <v>56</v>
      </c>
      <c r="AB68" s="3" t="n">
        <v>-0.149</v>
      </c>
      <c r="AC68" s="3" t="n"/>
      <c r="AD68" s="3" t="n"/>
    </row>
    <row r="69" hidden="1">
      <c r="A69" s="3" t="inlineStr">
        <is>
          <t>TNP</t>
        </is>
      </c>
      <c r="B69" s="3" t="inlineStr">
        <is>
          <t>"hscale": 0=Kyte and Doolittle</t>
        </is>
      </c>
      <c r="C69" s="3" t="inlineStr">
        <is>
          <t>total_CDR_length</t>
        </is>
      </c>
      <c r="D69" s="3" t="inlineStr">
        <is>
          <t>TNP Total CDR length-transformed</t>
        </is>
      </c>
      <c r="E69" s="3" t="inlineStr">
        <is>
          <t>Thermostability (Tm3)</t>
        </is>
      </c>
      <c r="F69" s="3">
        <f>A69&amp;"|"&amp;B69&amp;"|"&amp;C69&amp;"|"&amp;D69&amp;"|"&amp;E69</f>
        <v/>
      </c>
      <c r="G69" s="3">
        <f>COUNTIF($F$2:$F$191,F69)</f>
        <v/>
      </c>
      <c r="H69" s="3" t="n">
        <v>-0.131</v>
      </c>
      <c r="I69" s="3">
        <f>_xlfn.MINIFS($H$2:$H$191,$F$2:$F$191,F69)</f>
        <v/>
      </c>
      <c r="J69" s="3">
        <f>_xlfn.MAXIFS($H$2:$H$191,$F$2:$F$191,F69)</f>
        <v/>
      </c>
      <c r="K69" s="3">
        <f>IF(G69=1,"",IF(I69=J69,"EXACT_DUP","MISMATCH"))</f>
        <v/>
      </c>
      <c r="L69" s="3" t="n"/>
      <c r="M69" s="3" t="n">
        <v>177</v>
      </c>
      <c r="N69" s="3" t="n">
        <v>0.604</v>
      </c>
      <c r="O69" s="3" t="n">
        <v>0.475</v>
      </c>
      <c r="P69" s="3" t="n">
        <v>0.333</v>
      </c>
      <c r="Q69" s="3" t="n">
        <v>0.111</v>
      </c>
      <c r="R69" s="3" t="n">
        <v>0.667</v>
      </c>
      <c r="S69" s="3" t="n"/>
      <c r="T69" s="3" t="n"/>
      <c r="U69" s="3" t="inlineStr">
        <is>
          <t>1.0</t>
        </is>
      </c>
      <c r="V69" s="3" t="inlineStr">
        <is>
          <t>BSD 3-Clause License</t>
        </is>
      </c>
      <c r="W69" s="3" t="n">
        <v>80</v>
      </c>
      <c r="X69" s="3" t="n">
        <v>-0.312</v>
      </c>
      <c r="Y69" s="3" t="n">
        <v>38</v>
      </c>
      <c r="Z69" s="3" t="n">
        <v>0.125</v>
      </c>
      <c r="AA69" s="3" t="n">
        <v>56</v>
      </c>
      <c r="AB69" s="3" t="n">
        <v>0.14</v>
      </c>
      <c r="AC69" s="3" t="n"/>
      <c r="AD69" s="3" t="n"/>
    </row>
    <row r="70" hidden="1">
      <c r="A70" s="3" t="inlineStr">
        <is>
          <t>TNP</t>
        </is>
      </c>
      <c r="B70" s="3" t="inlineStr">
        <is>
          <t>"hscale": 0=Kyte and Doolittle</t>
        </is>
      </c>
      <c r="C70" s="3" t="inlineStr">
        <is>
          <t>total_CDR_length</t>
        </is>
      </c>
      <c r="D70" s="3" t="inlineStr">
        <is>
          <t>TNP Total CDR length</t>
        </is>
      </c>
      <c r="E70" s="3" t="inlineStr">
        <is>
          <t>Thermostability (onset)</t>
        </is>
      </c>
      <c r="F70" s="3">
        <f>A70&amp;"|"&amp;B70&amp;"|"&amp;C70&amp;"|"&amp;D70&amp;"|"&amp;E70</f>
        <v/>
      </c>
      <c r="G70" s="3">
        <f>COUNTIF($F$2:$F$191,F70)</f>
        <v/>
      </c>
      <c r="H70" s="3" t="n">
        <v>-0.095</v>
      </c>
      <c r="I70" s="3">
        <f>_xlfn.MINIFS($H$2:$H$191,$F$2:$F$191,F70)</f>
        <v/>
      </c>
      <c r="J70" s="3">
        <f>_xlfn.MAXIFS($H$2:$H$191,$F$2:$F$191,F70)</f>
        <v/>
      </c>
      <c r="K70" s="3">
        <f>IF(G70=1,"",IF(I70=J70,"EXACT_DUP","MISMATCH"))</f>
        <v/>
      </c>
      <c r="L70" s="3" t="inlineStr">
        <is>
          <t>***</t>
        </is>
      </c>
      <c r="M70" s="3" t="n">
        <v>1404</v>
      </c>
      <c r="N70" s="3" t="n">
        <v>0.541</v>
      </c>
      <c r="O70" s="3" t="n">
        <v>0.613</v>
      </c>
      <c r="P70" s="3" t="n">
        <v>0.465</v>
      </c>
      <c r="Q70" s="3" t="n">
        <v>0.521</v>
      </c>
      <c r="R70" s="3" t="n">
        <v>0.733</v>
      </c>
      <c r="S70" s="3" t="n"/>
      <c r="T70" s="3" t="n"/>
      <c r="U70" s="3" t="inlineStr">
        <is>
          <t>1.0</t>
        </is>
      </c>
      <c r="V70" s="3" t="inlineStr">
        <is>
          <t>BSD 3-Clause License</t>
        </is>
      </c>
      <c r="W70" s="3" t="n">
        <v>305</v>
      </c>
      <c r="X70" s="3" t="n">
        <v>0.36</v>
      </c>
      <c r="Y70" s="3" t="n">
        <v>827</v>
      </c>
      <c r="Z70" s="3" t="n">
        <v>-0.154</v>
      </c>
      <c r="AA70" s="3" t="n">
        <v>129</v>
      </c>
      <c r="AB70" s="3" t="n">
        <v>0.163</v>
      </c>
      <c r="AC70" s="3" t="n">
        <v>143</v>
      </c>
      <c r="AD70" s="3" t="n">
        <v>-0.08699999999999999</v>
      </c>
    </row>
    <row r="71" hidden="1">
      <c r="A71" s="3" t="inlineStr">
        <is>
          <t>TNP</t>
        </is>
      </c>
      <c r="B71" s="3" t="inlineStr">
        <is>
          <t>"hscale": 0=Kyte and Doolittle</t>
        </is>
      </c>
      <c r="C71" s="3" t="inlineStr">
        <is>
          <t>total_CDR_length</t>
        </is>
      </c>
      <c r="D71" s="3" t="inlineStr">
        <is>
          <t>TNP Total CDR length-transformed</t>
        </is>
      </c>
      <c r="E71" s="3" t="inlineStr">
        <is>
          <t>Thermostability (onset)</t>
        </is>
      </c>
      <c r="F71" s="3">
        <f>A71&amp;"|"&amp;B71&amp;"|"&amp;C71&amp;"|"&amp;D71&amp;"|"&amp;E71</f>
        <v/>
      </c>
      <c r="G71" s="3">
        <f>COUNTIF($F$2:$F$191,F71)</f>
        <v/>
      </c>
      <c r="H71" s="3" t="n">
        <v>-0.033</v>
      </c>
      <c r="I71" s="3">
        <f>_xlfn.MINIFS($H$2:$H$191,$F$2:$F$191,F71)</f>
        <v/>
      </c>
      <c r="J71" s="3">
        <f>_xlfn.MAXIFS($H$2:$H$191,$F$2:$F$191,F71)</f>
        <v/>
      </c>
      <c r="K71" s="3">
        <f>IF(G71=1,"",IF(I71=J71,"EXACT_DUP","MISMATCH"))</f>
        <v/>
      </c>
      <c r="L71" s="3" t="n"/>
      <c r="M71" s="3" t="n">
        <v>1404</v>
      </c>
      <c r="N71" s="3" t="n">
        <v>0.511</v>
      </c>
      <c r="O71" s="3" t="n">
        <v>0.599</v>
      </c>
      <c r="P71" s="3" t="n">
        <v>0.394</v>
      </c>
      <c r="Q71" s="3" t="n">
        <v>0.52</v>
      </c>
      <c r="R71" s="3" t="n">
        <v>0.718</v>
      </c>
      <c r="S71" s="3" t="n"/>
      <c r="T71" s="3" t="n"/>
      <c r="U71" s="3" t="inlineStr">
        <is>
          <t>1.0</t>
        </is>
      </c>
      <c r="V71" s="3" t="inlineStr">
        <is>
          <t>BSD 3-Clause License</t>
        </is>
      </c>
      <c r="W71" s="3" t="n">
        <v>305</v>
      </c>
      <c r="X71" s="3" t="n">
        <v>-0.092</v>
      </c>
      <c r="Y71" s="3" t="n">
        <v>827</v>
      </c>
      <c r="Z71" s="3" t="n">
        <v>0.106</v>
      </c>
      <c r="AA71" s="3" t="n">
        <v>129</v>
      </c>
      <c r="AB71" s="3" t="n">
        <v>-0.025</v>
      </c>
      <c r="AC71" s="3" t="n">
        <v>143</v>
      </c>
      <c r="AD71" s="3" t="n">
        <v>-0.005</v>
      </c>
    </row>
    <row r="72" hidden="1">
      <c r="A72" s="3" t="inlineStr">
        <is>
          <t>TNP</t>
        </is>
      </c>
      <c r="B72" s="3" t="inlineStr">
        <is>
          <t>"hscale": 0=Kyte and Doolittle</t>
        </is>
      </c>
      <c r="C72" s="3" t="inlineStr">
        <is>
          <t>total_CDR_length</t>
        </is>
      </c>
      <c r="D72" s="3" t="inlineStr">
        <is>
          <t>TNP Total CDR length</t>
        </is>
      </c>
      <c r="E72" s="3" t="inlineStr">
        <is>
          <t>Titer</t>
        </is>
      </c>
      <c r="F72" s="3">
        <f>A72&amp;"|"&amp;B72&amp;"|"&amp;C72&amp;"|"&amp;D72&amp;"|"&amp;E72</f>
        <v/>
      </c>
      <c r="G72" s="3">
        <f>COUNTIF($F$2:$F$191,F72)</f>
        <v/>
      </c>
      <c r="H72" s="3" t="n">
        <v>0.068</v>
      </c>
      <c r="I72" s="3">
        <f>_xlfn.MINIFS($H$2:$H$191,$F$2:$F$191,F72)</f>
        <v/>
      </c>
      <c r="J72" s="3">
        <f>_xlfn.MAXIFS($H$2:$H$191,$F$2:$F$191,F72)</f>
        <v/>
      </c>
      <c r="K72" s="3">
        <f>IF(G72=1,"",IF(I72=J72,"EXACT_DUP","MISMATCH"))</f>
        <v/>
      </c>
      <c r="L72" s="3" t="inlineStr">
        <is>
          <t>***</t>
        </is>
      </c>
      <c r="M72" s="3" t="n">
        <v>4062</v>
      </c>
      <c r="N72" s="3" t="n">
        <v>0.452</v>
      </c>
      <c r="O72" s="3" t="n">
        <v>0.306</v>
      </c>
      <c r="P72" s="3" t="n">
        <v>0.24</v>
      </c>
      <c r="Q72" s="3" t="n">
        <v>0.279</v>
      </c>
      <c r="R72" s="3" t="n">
        <v>0.373</v>
      </c>
      <c r="S72" s="3" t="n"/>
      <c r="T72" s="3" t="n"/>
      <c r="U72" s="3" t="inlineStr">
        <is>
          <t>1.0</t>
        </is>
      </c>
      <c r="V72" s="3" t="inlineStr">
        <is>
          <t>BSD 3-Clause License</t>
        </is>
      </c>
      <c r="W72" s="3" t="n">
        <v>625</v>
      </c>
      <c r="X72" s="3" t="n">
        <v>0.297</v>
      </c>
      <c r="Y72" s="3" t="n">
        <v>2761</v>
      </c>
      <c r="Z72" s="3" t="n">
        <v>-0.091</v>
      </c>
      <c r="AA72" s="3" t="n">
        <v>255</v>
      </c>
      <c r="AB72" s="3" t="n">
        <v>0.607</v>
      </c>
      <c r="AC72" s="3" t="n">
        <v>421</v>
      </c>
      <c r="AD72" s="3" t="n">
        <v>0.022</v>
      </c>
    </row>
    <row r="73" hidden="1">
      <c r="A73" s="3" t="inlineStr">
        <is>
          <t>TNP</t>
        </is>
      </c>
      <c r="B73" s="3" t="inlineStr">
        <is>
          <t>"hscale": 0=Kyte and Doolittle</t>
        </is>
      </c>
      <c r="C73" s="3" t="inlineStr">
        <is>
          <t>total_CDR_length</t>
        </is>
      </c>
      <c r="D73" s="3" t="inlineStr">
        <is>
          <t>TNP Total CDR length-transformed</t>
        </is>
      </c>
      <c r="E73" s="3" t="inlineStr">
        <is>
          <t>Titer</t>
        </is>
      </c>
      <c r="F73" s="3">
        <f>A73&amp;"|"&amp;B73&amp;"|"&amp;C73&amp;"|"&amp;D73&amp;"|"&amp;E73</f>
        <v/>
      </c>
      <c r="G73" s="3">
        <f>COUNTIF($F$2:$F$191,F73)</f>
        <v/>
      </c>
      <c r="H73" s="3" t="n">
        <v>0.055</v>
      </c>
      <c r="I73" s="3">
        <f>_xlfn.MINIFS($H$2:$H$191,$F$2:$F$191,F73)</f>
        <v/>
      </c>
      <c r="J73" s="3">
        <f>_xlfn.MAXIFS($H$2:$H$191,$F$2:$F$191,F73)</f>
        <v/>
      </c>
      <c r="K73" s="3">
        <f>IF(G73=1,"",IF(I73=J73,"EXACT_DUP","MISMATCH"))</f>
        <v/>
      </c>
      <c r="L73" s="3" t="inlineStr">
        <is>
          <t>***</t>
        </is>
      </c>
      <c r="M73" s="3" t="n">
        <v>4062</v>
      </c>
      <c r="N73" s="3" t="n">
        <v>0.466</v>
      </c>
      <c r="O73" s="3" t="n">
        <v>0.307</v>
      </c>
      <c r="P73" s="3" t="n">
        <v>0.294</v>
      </c>
      <c r="Q73" s="3" t="n">
        <v>0.269</v>
      </c>
      <c r="R73" s="3" t="n">
        <v>0.392</v>
      </c>
      <c r="S73" s="3" t="n"/>
      <c r="T73" s="3" t="n"/>
      <c r="U73" s="3" t="inlineStr">
        <is>
          <t>1.0</t>
        </is>
      </c>
      <c r="V73" s="3" t="inlineStr">
        <is>
          <t>BSD 3-Clause License</t>
        </is>
      </c>
      <c r="W73" s="3" t="n">
        <v>625</v>
      </c>
      <c r="X73" s="3" t="n">
        <v>0.056</v>
      </c>
      <c r="Y73" s="3" t="n">
        <v>2761</v>
      </c>
      <c r="Z73" s="3" t="n">
        <v>0.051</v>
      </c>
      <c r="AA73" s="3" t="n">
        <v>255</v>
      </c>
      <c r="AB73" s="3" t="n">
        <v>-0.408</v>
      </c>
      <c r="AC73" s="3" t="n">
        <v>421</v>
      </c>
      <c r="AD73" s="3" t="n">
        <v>-0.047</v>
      </c>
    </row>
    <row r="74" hidden="1">
      <c r="A74" s="3" t="inlineStr">
        <is>
          <t>FastDPE</t>
        </is>
      </c>
      <c r="B74" s="3" t="n"/>
      <c r="C74" s="3" t="inlineStr">
        <is>
          <t>SFvCSP</t>
        </is>
      </c>
      <c r="D74" s="3" t="inlineStr">
        <is>
          <t>FastDPE Structural Fv Charge Symmetry Parameter</t>
        </is>
      </c>
      <c r="E74" s="3" t="inlineStr">
        <is>
          <t>Aggregation (Polydispersity idx)</t>
        </is>
      </c>
      <c r="F74" s="3">
        <f>A74&amp;"|"&amp;B74&amp;"|"&amp;C74&amp;"|"&amp;D74&amp;"|"&amp;E74</f>
        <v/>
      </c>
      <c r="G74" s="3">
        <f>COUNTIF($F$2:$F$191,F74)</f>
        <v/>
      </c>
      <c r="H74" s="6" t="n">
        <v>0.016</v>
      </c>
      <c r="I74" s="3">
        <f>_xlfn.MINIFS($H$2:$H$191,$F$2:$F$191,F74)</f>
        <v/>
      </c>
      <c r="J74" s="3">
        <f>_xlfn.MAXIFS($H$2:$H$191,$F$2:$F$191,F74)</f>
        <v/>
      </c>
      <c r="K74" s="3">
        <f>IF(G74=1,"",IF(I74=J74,"EXACT_DUP","MISMATCH"))</f>
        <v/>
      </c>
      <c r="L74" s="3" t="n"/>
      <c r="M74" s="3" t="n">
        <v>967</v>
      </c>
      <c r="N74" s="3" t="n">
        <v>0.515</v>
      </c>
      <c r="O74" s="3" t="n">
        <v>0.769</v>
      </c>
      <c r="P74" s="3" t="n">
        <v>0.8159999999999999</v>
      </c>
      <c r="Q74" s="3" t="n">
        <v>0.673</v>
      </c>
      <c r="R74" s="3" t="n">
        <v>0.857</v>
      </c>
      <c r="S74" s="3" t="n"/>
      <c r="T74" s="3" t="n"/>
      <c r="U74" s="3" t="inlineStr">
        <is>
          <t>1.0</t>
        </is>
      </c>
      <c r="V74" s="3" t="inlineStr">
        <is>
          <t>BSD 3-Clause License</t>
        </is>
      </c>
      <c r="W74" s="3" t="n"/>
      <c r="X74" s="3" t="n"/>
      <c r="Y74" s="3" t="n">
        <v>822</v>
      </c>
      <c r="Z74" s="3" t="n">
        <v>0.014</v>
      </c>
      <c r="AA74" s="3" t="n"/>
      <c r="AB74" s="3" t="n"/>
      <c r="AC74" s="3" t="n">
        <v>145</v>
      </c>
      <c r="AD74" s="3" t="n">
        <v>-0.034</v>
      </c>
    </row>
    <row r="75" hidden="1">
      <c r="A75" s="3" t="inlineStr">
        <is>
          <t>FastDPE</t>
        </is>
      </c>
      <c r="B75" s="3" t="n"/>
      <c r="C75" s="3" t="inlineStr">
        <is>
          <t>SFvCSP</t>
        </is>
      </c>
      <c r="D75" s="3" t="inlineStr">
        <is>
          <t>FastDPE Structural Fv Charge Symmetry Parameter-transformed</t>
        </is>
      </c>
      <c r="E75" s="3" t="inlineStr">
        <is>
          <t>Aggregation (Polydispersity idx)</t>
        </is>
      </c>
      <c r="F75" s="3">
        <f>A75&amp;"|"&amp;B75&amp;"|"&amp;C75&amp;"|"&amp;D75&amp;"|"&amp;E75</f>
        <v/>
      </c>
      <c r="G75" s="3">
        <f>COUNTIF($F$2:$F$191,F75)</f>
        <v/>
      </c>
      <c r="H75" s="6" t="n">
        <v>0.016</v>
      </c>
      <c r="I75" s="3">
        <f>_xlfn.MINIFS($H$2:$H$191,$F$2:$F$191,F75)</f>
        <v/>
      </c>
      <c r="J75" s="3">
        <f>_xlfn.MAXIFS($H$2:$H$191,$F$2:$F$191,F75)</f>
        <v/>
      </c>
      <c r="K75" s="3">
        <f>IF(G75=1,"",IF(I75=J75,"EXACT_DUP","MISMATCH"))</f>
        <v/>
      </c>
      <c r="L75" s="3" t="n"/>
      <c r="M75" s="3" t="n">
        <v>967</v>
      </c>
      <c r="N75" s="3" t="n">
        <v>0.485</v>
      </c>
      <c r="O75" s="3" t="n">
        <v>0.742</v>
      </c>
      <c r="P75" s="3" t="n">
        <v>0.653</v>
      </c>
      <c r="Q75" s="3" t="n">
        <v>0.653</v>
      </c>
      <c r="R75" s="3" t="n">
        <v>0.858</v>
      </c>
      <c r="S75" s="3" t="n"/>
      <c r="T75" s="3" t="n"/>
      <c r="U75" s="3" t="inlineStr">
        <is>
          <t>1.0</t>
        </is>
      </c>
      <c r="V75" s="3" t="inlineStr">
        <is>
          <t>BSD 3-Clause License</t>
        </is>
      </c>
      <c r="W75" s="3" t="n"/>
      <c r="X75" s="3" t="n"/>
      <c r="Y75" s="3" t="n">
        <v>822</v>
      </c>
      <c r="Z75" s="3" t="n">
        <v>0.014</v>
      </c>
      <c r="AA75" s="3" t="n"/>
      <c r="AB75" s="3" t="n"/>
      <c r="AC75" s="3" t="n">
        <v>145</v>
      </c>
      <c r="AD75" s="3" t="n">
        <v>-0.034</v>
      </c>
    </row>
    <row r="76">
      <c r="A76" s="3" t="inlineStr">
        <is>
          <t>FastDPE</t>
        </is>
      </c>
      <c r="B76" s="3" t="n"/>
      <c r="C76" s="3" t="inlineStr">
        <is>
          <t>SFvCSP</t>
        </is>
      </c>
      <c r="D76" s="3" t="inlineStr">
        <is>
          <t>FastDPE Structural Fv Charge Symmetry Parameter</t>
        </is>
      </c>
      <c r="E76" s="3" t="inlineStr">
        <is>
          <t>Analytical Size Exclusion Chromatography</t>
        </is>
      </c>
      <c r="F76" s="3">
        <f>A76&amp;"|"&amp;B76&amp;"|"&amp;C76&amp;"|"&amp;D76&amp;"|"&amp;E76</f>
        <v/>
      </c>
      <c r="G76" s="3">
        <f>COUNTIF($F$2:$F$191,F76)</f>
        <v/>
      </c>
      <c r="H76" s="3" t="n">
        <v>-0.045</v>
      </c>
      <c r="I76" s="3">
        <f>_xlfn.MINIFS($H$2:$H$191,$F$2:$F$191,F76)</f>
        <v/>
      </c>
      <c r="J76" s="3">
        <f>_xlfn.MAXIFS($H$2:$H$191,$F$2:$F$191,F76)</f>
        <v/>
      </c>
      <c r="K76" s="3">
        <f>IF(G76=1,"",IF(I76=J76,"EXACT_DUP","MISMATCH"))</f>
        <v/>
      </c>
      <c r="L76" s="3" t="n"/>
      <c r="M76" s="3" t="n">
        <v>1102</v>
      </c>
      <c r="N76" s="3" t="n">
        <v>0.492</v>
      </c>
      <c r="O76" s="3" t="n">
        <v>0.642</v>
      </c>
      <c r="P76" s="3" t="n">
        <v>0.714</v>
      </c>
      <c r="Q76" s="3" t="n">
        <v>0.518</v>
      </c>
      <c r="R76" s="3" t="n">
        <v>0.75</v>
      </c>
      <c r="S76" s="3" t="n"/>
      <c r="T76" s="3" t="n"/>
      <c r="U76" s="3" t="inlineStr">
        <is>
          <t>1.0</t>
        </is>
      </c>
      <c r="V76" s="3" t="inlineStr">
        <is>
          <t>BSD 3-Clause License</t>
        </is>
      </c>
      <c r="W76" s="3" t="n"/>
      <c r="X76" s="3" t="n"/>
      <c r="Y76" s="3" t="n">
        <v>938</v>
      </c>
      <c r="Z76" s="3" t="n">
        <v>0.033</v>
      </c>
      <c r="AA76" s="3" t="n"/>
      <c r="AB76" s="3" t="n"/>
      <c r="AC76" s="3" t="n">
        <v>164</v>
      </c>
      <c r="AD76" s="3" t="n">
        <v>-0.406</v>
      </c>
    </row>
    <row r="77">
      <c r="A77" s="3" t="inlineStr">
        <is>
          <t>FastDPE</t>
        </is>
      </c>
      <c r="B77" s="3" t="n"/>
      <c r="C77" s="3" t="inlineStr">
        <is>
          <t>SFvCSP</t>
        </is>
      </c>
      <c r="D77" s="3" t="inlineStr">
        <is>
          <t>FastDPE Structural Fv Charge Symmetry Parameter-transformed</t>
        </is>
      </c>
      <c r="E77" s="3" t="inlineStr">
        <is>
          <t>Analytical Size Exclusion Chromatography</t>
        </is>
      </c>
      <c r="F77" s="3">
        <f>A77&amp;"|"&amp;B77&amp;"|"&amp;C77&amp;"|"&amp;D77&amp;"|"&amp;E77</f>
        <v/>
      </c>
      <c r="G77" s="3">
        <f>COUNTIF($F$2:$F$191,F77)</f>
        <v/>
      </c>
      <c r="H77" s="3" t="n">
        <v>-0.045</v>
      </c>
      <c r="I77" s="3">
        <f>_xlfn.MINIFS($H$2:$H$191,$F$2:$F$191,F77)</f>
        <v/>
      </c>
      <c r="J77" s="3">
        <f>_xlfn.MAXIFS($H$2:$H$191,$F$2:$F$191,F77)</f>
        <v/>
      </c>
      <c r="K77" s="3">
        <f>IF(G77=1,"",IF(I77=J77,"EXACT_DUP","MISMATCH"))</f>
        <v/>
      </c>
      <c r="L77" s="3" t="n"/>
      <c r="M77" s="3" t="n">
        <v>1102</v>
      </c>
      <c r="N77" s="3" t="n">
        <v>0.508</v>
      </c>
      <c r="O77" s="3" t="n">
        <v>0.66</v>
      </c>
      <c r="P77" s="3" t="n">
        <v>0.75</v>
      </c>
      <c r="Q77" s="3" t="n">
        <v>0.535</v>
      </c>
      <c r="R77" s="3" t="n">
        <v>0.75</v>
      </c>
      <c r="S77" s="3" t="n"/>
      <c r="T77" s="3" t="n"/>
      <c r="U77" s="3" t="inlineStr">
        <is>
          <t>1.0</t>
        </is>
      </c>
      <c r="V77" s="3" t="inlineStr">
        <is>
          <t>BSD 3-Clause License</t>
        </is>
      </c>
      <c r="W77" s="3" t="n"/>
      <c r="X77" s="3" t="n"/>
      <c r="Y77" s="3" t="n">
        <v>938</v>
      </c>
      <c r="Z77" s="3" t="n">
        <v>0.033</v>
      </c>
      <c r="AA77" s="3" t="n"/>
      <c r="AB77" s="3" t="n"/>
      <c r="AC77" s="3" t="n">
        <v>164</v>
      </c>
      <c r="AD77" s="3" t="n">
        <v>-0.406</v>
      </c>
    </row>
    <row r="78" hidden="1">
      <c r="A78" s="3" t="inlineStr">
        <is>
          <t>FastDPE</t>
        </is>
      </c>
      <c r="B78" s="3" t="n"/>
      <c r="C78" s="3" t="inlineStr">
        <is>
          <t>SFvCSP</t>
        </is>
      </c>
      <c r="D78" s="3" t="inlineStr">
        <is>
          <t>FastDPE Structural Fv Charge Symmetry Parameter</t>
        </is>
      </c>
      <c r="E78" s="3" t="inlineStr">
        <is>
          <t>Polyreactivity (absorbance)</t>
        </is>
      </c>
      <c r="F78" s="3">
        <f>A78&amp;"|"&amp;B78&amp;"|"&amp;C78&amp;"|"&amp;D78&amp;"|"&amp;E78</f>
        <v/>
      </c>
      <c r="G78" s="3">
        <f>COUNTIF($F$2:$F$191,F78)</f>
        <v/>
      </c>
      <c r="H78" s="3" t="n">
        <v>0.283</v>
      </c>
      <c r="I78" s="3">
        <f>_xlfn.MINIFS($H$2:$H$191,$F$2:$F$191,F78)</f>
        <v/>
      </c>
      <c r="J78" s="3">
        <f>_xlfn.MAXIFS($H$2:$H$191,$F$2:$F$191,F78)</f>
        <v/>
      </c>
      <c r="K78" s="3">
        <f>IF(G78=1,"",IF(I78=J78,"EXACT_DUP","MISMATCH"))</f>
        <v/>
      </c>
      <c r="L78" s="3" t="inlineStr">
        <is>
          <t>***</t>
        </is>
      </c>
      <c r="M78" s="3" t="n">
        <v>971</v>
      </c>
      <c r="N78" s="3" t="n">
        <v>0.65</v>
      </c>
      <c r="O78" s="3" t="n">
        <v>0.8149999999999999</v>
      </c>
      <c r="P78" s="3" t="n">
        <v>0.898</v>
      </c>
      <c r="Q78" s="3" t="n">
        <v>0.612</v>
      </c>
      <c r="R78" s="3" t="n">
        <v>0.8159999999999999</v>
      </c>
      <c r="S78" s="3" t="n"/>
      <c r="T78" s="3" t="n"/>
      <c r="U78" s="3" t="inlineStr">
        <is>
          <t>1.0</t>
        </is>
      </c>
      <c r="V78" s="3" t="inlineStr">
        <is>
          <t>BSD 3-Clause License</t>
        </is>
      </c>
      <c r="W78" s="3" t="n"/>
      <c r="X78" s="3" t="n"/>
      <c r="Y78" s="3" t="n">
        <v>825</v>
      </c>
      <c r="Z78" s="3" t="n">
        <v>0.238</v>
      </c>
      <c r="AA78" s="3" t="n"/>
      <c r="AB78" s="3" t="n"/>
      <c r="AC78" s="3" t="n">
        <v>146</v>
      </c>
      <c r="AD78" s="3" t="n">
        <v>0.533</v>
      </c>
    </row>
    <row r="79" hidden="1">
      <c r="A79" s="3" t="inlineStr">
        <is>
          <t>FastDPE</t>
        </is>
      </c>
      <c r="B79" s="3" t="n"/>
      <c r="C79" s="3" t="inlineStr">
        <is>
          <t>SFvCSP</t>
        </is>
      </c>
      <c r="D79" s="3" t="inlineStr">
        <is>
          <t>FastDPE Structural Fv Charge Symmetry Parameter-transformed</t>
        </is>
      </c>
      <c r="E79" s="3" t="inlineStr">
        <is>
          <t>Polyreactivity (absorbance)</t>
        </is>
      </c>
      <c r="F79" s="3">
        <f>A79&amp;"|"&amp;B79&amp;"|"&amp;C79&amp;"|"&amp;D79&amp;"|"&amp;E79</f>
        <v/>
      </c>
      <c r="G79" s="3">
        <f>COUNTIF($F$2:$F$191,F79)</f>
        <v/>
      </c>
      <c r="H79" s="3" t="n">
        <v>0.283</v>
      </c>
      <c r="I79" s="3">
        <f>_xlfn.MINIFS($H$2:$H$191,$F$2:$F$191,F79)</f>
        <v/>
      </c>
      <c r="J79" s="3">
        <f>_xlfn.MAXIFS($H$2:$H$191,$F$2:$F$191,F79)</f>
        <v/>
      </c>
      <c r="K79" s="3">
        <f>IF(G79=1,"",IF(I79=J79,"EXACT_DUP","MISMATCH"))</f>
        <v/>
      </c>
      <c r="L79" s="3" t="inlineStr">
        <is>
          <t>***</t>
        </is>
      </c>
      <c r="M79" s="3" t="n">
        <v>971</v>
      </c>
      <c r="N79" s="3" t="n">
        <v>0.35</v>
      </c>
      <c r="O79" s="3" t="n">
        <v>0.639</v>
      </c>
      <c r="P79" s="3" t="n">
        <v>0.531</v>
      </c>
      <c r="Q79" s="3" t="n">
        <v>0.632</v>
      </c>
      <c r="R79" s="3" t="n">
        <v>0.8169999999999999</v>
      </c>
      <c r="S79" s="3" t="n"/>
      <c r="T79" s="3" t="n"/>
      <c r="U79" s="3" t="inlineStr">
        <is>
          <t>1.0</t>
        </is>
      </c>
      <c r="V79" s="3" t="inlineStr">
        <is>
          <t>BSD 3-Clause License</t>
        </is>
      </c>
      <c r="W79" s="3" t="n"/>
      <c r="X79" s="3" t="n"/>
      <c r="Y79" s="3" t="n">
        <v>825</v>
      </c>
      <c r="Z79" s="3" t="n">
        <v>0.238</v>
      </c>
      <c r="AA79" s="3" t="n"/>
      <c r="AB79" s="3" t="n"/>
      <c r="AC79" s="3" t="n">
        <v>146</v>
      </c>
      <c r="AD79" s="3" t="n">
        <v>0.533</v>
      </c>
    </row>
    <row r="80" hidden="1">
      <c r="A80" s="3" t="inlineStr">
        <is>
          <t>FastDPE</t>
        </is>
      </c>
      <c r="B80" s="3" t="n"/>
      <c r="C80" s="3" t="inlineStr">
        <is>
          <t>SFvCSP</t>
        </is>
      </c>
      <c r="D80" s="3" t="inlineStr">
        <is>
          <t>FastDPE Structural Fv Charge Symmetry Parameter</t>
        </is>
      </c>
      <c r="E80" s="3" t="inlineStr">
        <is>
          <t>Thermostability (Tm1)</t>
        </is>
      </c>
      <c r="F80" s="3">
        <f>A80&amp;"|"&amp;B80&amp;"|"&amp;C80&amp;"|"&amp;D80&amp;"|"&amp;E80</f>
        <v/>
      </c>
      <c r="G80" s="3">
        <f>COUNTIF($F$2:$F$191,F80)</f>
        <v/>
      </c>
      <c r="H80" s="3" t="n">
        <v>0.168</v>
      </c>
      <c r="I80" s="3">
        <f>_xlfn.MINIFS($H$2:$H$191,$F$2:$F$191,F80)</f>
        <v/>
      </c>
      <c r="J80" s="3">
        <f>_xlfn.MAXIFS($H$2:$H$191,$F$2:$F$191,F80)</f>
        <v/>
      </c>
      <c r="K80" s="3">
        <f>IF(G80=1,"",IF(I80=J80,"EXACT_DUP","MISMATCH"))</f>
        <v/>
      </c>
      <c r="L80" s="3" t="inlineStr">
        <is>
          <t>***</t>
        </is>
      </c>
      <c r="M80" s="3" t="n">
        <v>1100</v>
      </c>
      <c r="N80" s="3" t="n">
        <v>0.602</v>
      </c>
      <c r="O80" s="3" t="n">
        <v>0.736</v>
      </c>
      <c r="P80" s="3" t="n">
        <v>0.8179999999999999</v>
      </c>
      <c r="Q80" s="3" t="n">
        <v>0.5639999999999999</v>
      </c>
      <c r="R80" s="3" t="n">
        <v>0.782</v>
      </c>
      <c r="S80" s="3" t="n"/>
      <c r="T80" s="3" t="n"/>
      <c r="U80" s="3" t="inlineStr">
        <is>
          <t>1.0</t>
        </is>
      </c>
      <c r="V80" s="3" t="inlineStr">
        <is>
          <t>BSD 3-Clause License</t>
        </is>
      </c>
      <c r="W80" s="3" t="n"/>
      <c r="X80" s="3" t="n"/>
      <c r="Y80" s="3" t="n">
        <v>943</v>
      </c>
      <c r="Z80" s="3" t="n">
        <v>0.163</v>
      </c>
      <c r="AA80" s="3" t="n"/>
      <c r="AB80" s="3" t="n"/>
      <c r="AC80" s="3" t="n">
        <v>157</v>
      </c>
      <c r="AD80" s="3" t="n">
        <v>0.082</v>
      </c>
    </row>
    <row r="81" hidden="1">
      <c r="A81" s="3" t="inlineStr">
        <is>
          <t>FastDPE</t>
        </is>
      </c>
      <c r="B81" s="3" t="n"/>
      <c r="C81" s="3" t="inlineStr">
        <is>
          <t>SFvCSP</t>
        </is>
      </c>
      <c r="D81" s="3" t="inlineStr">
        <is>
          <t>FastDPE Structural Fv Charge Symmetry Parameter-transformed</t>
        </is>
      </c>
      <c r="E81" s="3" t="inlineStr">
        <is>
          <t>Thermostability (Tm1)</t>
        </is>
      </c>
      <c r="F81" s="3">
        <f>A81&amp;"|"&amp;B81&amp;"|"&amp;C81&amp;"|"&amp;D81&amp;"|"&amp;E81</f>
        <v/>
      </c>
      <c r="G81" s="3">
        <f>COUNTIF($F$2:$F$191,F81)</f>
        <v/>
      </c>
      <c r="H81" s="3" t="n">
        <v>0.168</v>
      </c>
      <c r="I81" s="3">
        <f>_xlfn.MINIFS($H$2:$H$191,$F$2:$F$191,F81)</f>
        <v/>
      </c>
      <c r="J81" s="3">
        <f>_xlfn.MAXIFS($H$2:$H$191,$F$2:$F$191,F81)</f>
        <v/>
      </c>
      <c r="K81" s="3">
        <f>IF(G81=1,"",IF(I81=J81,"EXACT_DUP","MISMATCH"))</f>
        <v/>
      </c>
      <c r="L81" s="3" t="inlineStr">
        <is>
          <t>***</t>
        </is>
      </c>
      <c r="M81" s="3" t="n">
        <v>1100</v>
      </c>
      <c r="N81" s="3" t="n">
        <v>0.398</v>
      </c>
      <c r="O81" s="3" t="n">
        <v>0.603</v>
      </c>
      <c r="P81" s="3" t="n">
        <v>0.436</v>
      </c>
      <c r="Q81" s="3" t="n">
        <v>0.581</v>
      </c>
      <c r="R81" s="3" t="n">
        <v>0.764</v>
      </c>
      <c r="S81" s="3" t="n"/>
      <c r="T81" s="3" t="n"/>
      <c r="U81" s="3" t="inlineStr">
        <is>
          <t>1.0</t>
        </is>
      </c>
      <c r="V81" s="3" t="inlineStr">
        <is>
          <t>BSD 3-Clause License</t>
        </is>
      </c>
      <c r="W81" s="3" t="n"/>
      <c r="X81" s="3" t="n"/>
      <c r="Y81" s="3" t="n">
        <v>943</v>
      </c>
      <c r="Z81" s="3" t="n">
        <v>0.163</v>
      </c>
      <c r="AA81" s="3" t="n"/>
      <c r="AB81" s="3" t="n"/>
      <c r="AC81" s="3" t="n">
        <v>157</v>
      </c>
      <c r="AD81" s="3" t="n">
        <v>0.082</v>
      </c>
    </row>
    <row r="82" hidden="1">
      <c r="A82" s="3" t="inlineStr">
        <is>
          <t>FastDPE</t>
        </is>
      </c>
      <c r="B82" s="3" t="n"/>
      <c r="C82" s="3" t="inlineStr">
        <is>
          <t>SFvCSP</t>
        </is>
      </c>
      <c r="D82" s="3" t="inlineStr">
        <is>
          <t>FastDPE Structural Fv Charge Symmetry Parameter</t>
        </is>
      </c>
      <c r="E82" s="3" t="inlineStr">
        <is>
          <t>Thermostability (Tm2)</t>
        </is>
      </c>
      <c r="F82" s="3">
        <f>A82&amp;"|"&amp;B82&amp;"|"&amp;C82&amp;"|"&amp;D82&amp;"|"&amp;E82</f>
        <v/>
      </c>
      <c r="G82" s="3">
        <f>COUNTIF($F$2:$F$191,F82)</f>
        <v/>
      </c>
      <c r="H82" s="3" t="n">
        <v>0.079</v>
      </c>
      <c r="I82" s="3">
        <f>_xlfn.MINIFS($H$2:$H$191,$F$2:$F$191,F82)</f>
        <v/>
      </c>
      <c r="J82" s="3">
        <f>_xlfn.MAXIFS($H$2:$H$191,$F$2:$F$191,F82)</f>
        <v/>
      </c>
      <c r="K82" s="3">
        <f>IF(G82=1,"",IF(I82=J82,"EXACT_DUP","MISMATCH"))</f>
        <v/>
      </c>
      <c r="L82" s="3" t="inlineStr">
        <is>
          <t>*</t>
        </is>
      </c>
      <c r="M82" s="3" t="n">
        <v>763</v>
      </c>
      <c r="N82" s="3" t="n">
        <v>0.514</v>
      </c>
      <c r="O82" s="3" t="n">
        <v>0.6860000000000001</v>
      </c>
      <c r="P82" s="3" t="n">
        <v>0.744</v>
      </c>
      <c r="Q82" s="3" t="n">
        <v>0.5639999999999999</v>
      </c>
      <c r="R82" s="3" t="n">
        <v>0.795</v>
      </c>
      <c r="S82" s="3" t="n"/>
      <c r="T82" s="3" t="n"/>
      <c r="U82" s="3" t="inlineStr">
        <is>
          <t>1.0</t>
        </is>
      </c>
      <c r="V82" s="3" t="inlineStr">
        <is>
          <t>BSD 3-Clause License</t>
        </is>
      </c>
      <c r="W82" s="3" t="n"/>
      <c r="X82" s="3" t="n"/>
      <c r="Y82" s="3" t="n">
        <v>636</v>
      </c>
      <c r="Z82" s="3" t="n">
        <v>0.07099999999999999</v>
      </c>
      <c r="AA82" s="3" t="n"/>
      <c r="AB82" s="3" t="n"/>
      <c r="AC82" s="3" t="n">
        <v>127</v>
      </c>
      <c r="AD82" s="3" t="n">
        <v>0.013</v>
      </c>
    </row>
    <row r="83" hidden="1">
      <c r="A83" s="3" t="inlineStr">
        <is>
          <t>FastDPE</t>
        </is>
      </c>
      <c r="B83" s="3" t="n"/>
      <c r="C83" s="3" t="inlineStr">
        <is>
          <t>SFvCSP</t>
        </is>
      </c>
      <c r="D83" s="3" t="inlineStr">
        <is>
          <t>FastDPE Structural Fv Charge Symmetry Parameter-transformed</t>
        </is>
      </c>
      <c r="E83" s="3" t="inlineStr">
        <is>
          <t>Thermostability (Tm2)</t>
        </is>
      </c>
      <c r="F83" s="3">
        <f>A83&amp;"|"&amp;B83&amp;"|"&amp;C83&amp;"|"&amp;D83&amp;"|"&amp;E83</f>
        <v/>
      </c>
      <c r="G83" s="3">
        <f>COUNTIF($F$2:$F$191,F83)</f>
        <v/>
      </c>
      <c r="H83" s="3" t="n">
        <v>0.079</v>
      </c>
      <c r="I83" s="3">
        <f>_xlfn.MINIFS($H$2:$H$191,$F$2:$F$191,F83)</f>
        <v/>
      </c>
      <c r="J83" s="3">
        <f>_xlfn.MAXIFS($H$2:$H$191,$F$2:$F$191,F83)</f>
        <v/>
      </c>
      <c r="K83" s="3">
        <f>IF(G83=1,"",IF(I83=J83,"EXACT_DUP","MISMATCH"))</f>
        <v/>
      </c>
      <c r="L83" s="3" t="inlineStr">
        <is>
          <t>*</t>
        </is>
      </c>
      <c r="M83" s="3" t="n">
        <v>763</v>
      </c>
      <c r="N83" s="3" t="n">
        <v>0.486</v>
      </c>
      <c r="O83" s="3" t="n">
        <v>0.677</v>
      </c>
      <c r="P83" s="3" t="n">
        <v>0.6919999999999999</v>
      </c>
      <c r="Q83" s="3" t="n">
        <v>0.5639999999999999</v>
      </c>
      <c r="R83" s="3" t="n">
        <v>0.795</v>
      </c>
      <c r="S83" s="3" t="n"/>
      <c r="T83" s="3" t="n"/>
      <c r="U83" s="3" t="inlineStr">
        <is>
          <t>1.0</t>
        </is>
      </c>
      <c r="V83" s="3" t="inlineStr">
        <is>
          <t>BSD 3-Clause License</t>
        </is>
      </c>
      <c r="W83" s="3" t="n"/>
      <c r="X83" s="3" t="n"/>
      <c r="Y83" s="3" t="n">
        <v>636</v>
      </c>
      <c r="Z83" s="3" t="n">
        <v>0.07099999999999999</v>
      </c>
      <c r="AA83" s="3" t="n"/>
      <c r="AB83" s="3" t="n"/>
      <c r="AC83" s="3" t="n">
        <v>127</v>
      </c>
      <c r="AD83" s="3" t="n">
        <v>0.013</v>
      </c>
    </row>
    <row r="84" hidden="1">
      <c r="A84" s="3" t="inlineStr">
        <is>
          <t>FastDPE</t>
        </is>
      </c>
      <c r="B84" s="3" t="n"/>
      <c r="C84" s="3" t="inlineStr">
        <is>
          <t>SFvCSP</t>
        </is>
      </c>
      <c r="D84" s="3" t="inlineStr">
        <is>
          <t>FastDPE Structural Fv Charge Symmetry Parameter</t>
        </is>
      </c>
      <c r="E84" s="3" t="inlineStr">
        <is>
          <t>Thermostability (Tm3)</t>
        </is>
      </c>
      <c r="F84" s="3">
        <f>A84&amp;"|"&amp;B84&amp;"|"&amp;C84&amp;"|"&amp;D84&amp;"|"&amp;E84</f>
        <v/>
      </c>
      <c r="G84" s="3">
        <f>COUNTIF($F$2:$F$191,F84)</f>
        <v/>
      </c>
      <c r="H84" s="3" t="n">
        <v>-0.01</v>
      </c>
      <c r="I84" s="3">
        <f>_xlfn.MINIFS($H$2:$H$191,$F$2:$F$191,F84)</f>
        <v/>
      </c>
      <c r="J84" s="3">
        <f>_xlfn.MAXIFS($H$2:$H$191,$F$2:$F$191,F84)</f>
        <v/>
      </c>
      <c r="K84" s="3">
        <f>IF(G84=1,"",IF(I84=J84,"EXACT_DUP","MISMATCH"))</f>
        <v/>
      </c>
      <c r="L84" s="3" t="n"/>
      <c r="M84" s="3" t="n">
        <v>45</v>
      </c>
      <c r="N84" s="3" t="n">
        <v>0.489</v>
      </c>
      <c r="O84" s="3" t="n">
        <v>0.58</v>
      </c>
      <c r="P84" s="3" t="n">
        <v>0.667</v>
      </c>
      <c r="Q84" s="3" t="n">
        <v>0</v>
      </c>
      <c r="R84" s="3" t="n">
        <v>1</v>
      </c>
      <c r="S84" s="3" t="n"/>
      <c r="T84" s="3" t="n"/>
      <c r="U84" s="3" t="inlineStr">
        <is>
          <t>1.0</t>
        </is>
      </c>
      <c r="V84" s="3" t="inlineStr">
        <is>
          <t>BSD 3-Clause License</t>
        </is>
      </c>
      <c r="W84" s="3" t="n"/>
      <c r="X84" s="3" t="n"/>
      <c r="Y84" s="3" t="n">
        <v>42</v>
      </c>
      <c r="Z84" s="3" t="n">
        <v>-0.027</v>
      </c>
      <c r="AA84" s="3" t="n"/>
      <c r="AB84" s="3" t="n"/>
      <c r="AC84" s="3" t="n">
        <v>3</v>
      </c>
      <c r="AD84" s="3" t="n">
        <v>0.866</v>
      </c>
    </row>
    <row r="85" hidden="1">
      <c r="A85" s="3" t="inlineStr">
        <is>
          <t>FastDPE</t>
        </is>
      </c>
      <c r="B85" s="3" t="n"/>
      <c r="C85" s="3" t="inlineStr">
        <is>
          <t>SFvCSP</t>
        </is>
      </c>
      <c r="D85" s="3" t="inlineStr">
        <is>
          <t>FastDPE Structural Fv Charge Symmetry Parameter-transformed</t>
        </is>
      </c>
      <c r="E85" s="3" t="inlineStr">
        <is>
          <t>Thermostability (Tm3)</t>
        </is>
      </c>
      <c r="F85" s="3">
        <f>A85&amp;"|"&amp;B85&amp;"|"&amp;C85&amp;"|"&amp;D85&amp;"|"&amp;E85</f>
        <v/>
      </c>
      <c r="G85" s="3">
        <f>COUNTIF($F$2:$F$191,F85)</f>
        <v/>
      </c>
      <c r="H85" s="3" t="n">
        <v>-0.01</v>
      </c>
      <c r="I85" s="3">
        <f>_xlfn.MINIFS($H$2:$H$191,$F$2:$F$191,F85)</f>
        <v/>
      </c>
      <c r="J85" s="3">
        <f>_xlfn.MAXIFS($H$2:$H$191,$F$2:$F$191,F85)</f>
        <v/>
      </c>
      <c r="K85" s="3">
        <f>IF(G85=1,"",IF(I85=J85,"EXACT_DUP","MISMATCH"))</f>
        <v/>
      </c>
      <c r="L85" s="3" t="n"/>
      <c r="M85" s="3" t="n">
        <v>45</v>
      </c>
      <c r="N85" s="3" t="n">
        <v>0.511</v>
      </c>
      <c r="O85" s="3" t="n">
        <v>0.598</v>
      </c>
      <c r="P85" s="3" t="n">
        <v>1</v>
      </c>
      <c r="Q85" s="3" t="n">
        <v>0</v>
      </c>
      <c r="R85" s="3" t="n">
        <v>1</v>
      </c>
      <c r="S85" s="3" t="n"/>
      <c r="T85" s="3" t="n"/>
      <c r="U85" s="3" t="inlineStr">
        <is>
          <t>1.0</t>
        </is>
      </c>
      <c r="V85" s="3" t="inlineStr">
        <is>
          <t>BSD 3-Clause License</t>
        </is>
      </c>
      <c r="W85" s="3" t="n"/>
      <c r="X85" s="3" t="n"/>
      <c r="Y85" s="3" t="n">
        <v>42</v>
      </c>
      <c r="Z85" s="3" t="n">
        <v>-0.027</v>
      </c>
      <c r="AA85" s="3" t="n"/>
      <c r="AB85" s="3" t="n"/>
      <c r="AC85" s="3" t="n">
        <v>3</v>
      </c>
      <c r="AD85" s="3" t="n">
        <v>0.866</v>
      </c>
    </row>
    <row r="86" hidden="1">
      <c r="A86" s="3" t="inlineStr">
        <is>
          <t>FastDPE</t>
        </is>
      </c>
      <c r="B86" s="3" t="n"/>
      <c r="C86" s="3" t="inlineStr">
        <is>
          <t>SFvCSP</t>
        </is>
      </c>
      <c r="D86" s="3" t="inlineStr">
        <is>
          <t>FastDPE Structural Fv Charge Symmetry Parameter</t>
        </is>
      </c>
      <c r="E86" s="3" t="inlineStr">
        <is>
          <t>Thermostability (onset)</t>
        </is>
      </c>
      <c r="F86" s="3">
        <f>A86&amp;"|"&amp;B86&amp;"|"&amp;C86&amp;"|"&amp;D86&amp;"|"&amp;E86</f>
        <v/>
      </c>
      <c r="G86" s="3">
        <f>COUNTIF($F$2:$F$191,F86)</f>
        <v/>
      </c>
      <c r="H86" s="3" t="n">
        <v>0.16</v>
      </c>
      <c r="I86" s="3">
        <f>_xlfn.MINIFS($H$2:$H$191,$F$2:$F$191,F86)</f>
        <v/>
      </c>
      <c r="J86" s="3">
        <f>_xlfn.MAXIFS($H$2:$H$191,$F$2:$F$191,F86)</f>
        <v/>
      </c>
      <c r="K86" s="3">
        <f>IF(G86=1,"",IF(I86=J86,"EXACT_DUP","MISMATCH"))</f>
        <v/>
      </c>
      <c r="L86" s="3" t="inlineStr">
        <is>
          <t>***</t>
        </is>
      </c>
      <c r="M86" s="3" t="n">
        <v>1097</v>
      </c>
      <c r="N86" s="3" t="n">
        <v>0.603</v>
      </c>
      <c r="O86" s="3" t="n">
        <v>0.765</v>
      </c>
      <c r="P86" s="3" t="n">
        <v>0.8179999999999999</v>
      </c>
      <c r="Q86" s="3" t="n">
        <v>0.582</v>
      </c>
      <c r="R86" s="3" t="n">
        <v>0.8</v>
      </c>
      <c r="S86" s="3" t="n"/>
      <c r="T86" s="3" t="n"/>
      <c r="U86" s="3" t="inlineStr">
        <is>
          <t>1.0</t>
        </is>
      </c>
      <c r="V86" s="3" t="inlineStr">
        <is>
          <t>BSD 3-Clause License</t>
        </is>
      </c>
      <c r="W86" s="3" t="n"/>
      <c r="X86" s="3" t="n"/>
      <c r="Y86" s="3" t="n">
        <v>940</v>
      </c>
      <c r="Z86" s="3" t="n">
        <v>0.165</v>
      </c>
      <c r="AA86" s="3" t="n"/>
      <c r="AB86" s="3" t="n"/>
      <c r="AC86" s="3" t="n">
        <v>157</v>
      </c>
      <c r="AD86" s="3" t="n">
        <v>0.02</v>
      </c>
    </row>
    <row r="87" hidden="1">
      <c r="A87" s="3" t="inlineStr">
        <is>
          <t>FastDPE</t>
        </is>
      </c>
      <c r="B87" s="3" t="n"/>
      <c r="C87" s="3" t="inlineStr">
        <is>
          <t>SFvCSP</t>
        </is>
      </c>
      <c r="D87" s="3" t="inlineStr">
        <is>
          <t>FastDPE Structural Fv Charge Symmetry Parameter-transformed</t>
        </is>
      </c>
      <c r="E87" s="3" t="inlineStr">
        <is>
          <t>Thermostability (onset)</t>
        </is>
      </c>
      <c r="F87" s="3">
        <f>A87&amp;"|"&amp;B87&amp;"|"&amp;C87&amp;"|"&amp;D87&amp;"|"&amp;E87</f>
        <v/>
      </c>
      <c r="G87" s="3">
        <f>COUNTIF($F$2:$F$191,F87)</f>
        <v/>
      </c>
      <c r="H87" s="3" t="n">
        <v>0.16</v>
      </c>
      <c r="I87" s="3">
        <f>_xlfn.MINIFS($H$2:$H$191,$F$2:$F$191,F87)</f>
        <v/>
      </c>
      <c r="J87" s="3">
        <f>_xlfn.MAXIFS($H$2:$H$191,$F$2:$F$191,F87)</f>
        <v/>
      </c>
      <c r="K87" s="3">
        <f>IF(G87=1,"",IF(I87=J87,"EXACT_DUP","MISMATCH"))</f>
        <v/>
      </c>
      <c r="L87" s="3" t="inlineStr">
        <is>
          <t>***</t>
        </is>
      </c>
      <c r="M87" s="3" t="n">
        <v>1097</v>
      </c>
      <c r="N87" s="3" t="n">
        <v>0.397</v>
      </c>
      <c r="O87" s="3" t="n">
        <v>0.643</v>
      </c>
      <c r="P87" s="3" t="n">
        <v>0.473</v>
      </c>
      <c r="Q87" s="3" t="n">
        <v>0.6</v>
      </c>
      <c r="R87" s="3" t="n">
        <v>0.8179999999999999</v>
      </c>
      <c r="S87" s="3" t="n"/>
      <c r="T87" s="3" t="n"/>
      <c r="U87" s="3" t="inlineStr">
        <is>
          <t>1.0</t>
        </is>
      </c>
      <c r="V87" s="3" t="inlineStr">
        <is>
          <t>BSD 3-Clause License</t>
        </is>
      </c>
      <c r="W87" s="3" t="n"/>
      <c r="X87" s="3" t="n"/>
      <c r="Y87" s="3" t="n">
        <v>940</v>
      </c>
      <c r="Z87" s="3" t="n">
        <v>0.165</v>
      </c>
      <c r="AA87" s="3" t="n"/>
      <c r="AB87" s="3" t="n"/>
      <c r="AC87" s="3" t="n">
        <v>157</v>
      </c>
      <c r="AD87" s="3" t="n">
        <v>0.02</v>
      </c>
    </row>
    <row r="88" hidden="1">
      <c r="A88" s="3" t="inlineStr">
        <is>
          <t>FastDPE</t>
        </is>
      </c>
      <c r="B88" s="3" t="n"/>
      <c r="C88" s="3" t="inlineStr">
        <is>
          <t>SFvCSP</t>
        </is>
      </c>
      <c r="D88" s="3" t="inlineStr">
        <is>
          <t>FastDPE Structural Fv Charge Symmetry Parameter</t>
        </is>
      </c>
      <c r="E88" s="3" t="inlineStr">
        <is>
          <t>Titer</t>
        </is>
      </c>
      <c r="F88" s="3">
        <f>A88&amp;"|"&amp;B88&amp;"|"&amp;C88&amp;"|"&amp;D88&amp;"|"&amp;E88</f>
        <v/>
      </c>
      <c r="G88" s="3">
        <f>COUNTIF($F$2:$F$191,F88)</f>
        <v/>
      </c>
      <c r="H88" s="3" t="n">
        <v>0.199</v>
      </c>
      <c r="I88" s="3">
        <f>_xlfn.MINIFS($H$2:$H$191,$F$2:$F$191,F88)</f>
        <v/>
      </c>
      <c r="J88" s="3">
        <f>_xlfn.MAXIFS($H$2:$H$191,$F$2:$F$191,F88)</f>
        <v/>
      </c>
      <c r="K88" s="3">
        <f>IF(G88=1,"",IF(I88=J88,"EXACT_DUP","MISMATCH"))</f>
        <v/>
      </c>
      <c r="L88" s="3" t="inlineStr">
        <is>
          <t>***</t>
        </is>
      </c>
      <c r="M88" s="3" t="n">
        <v>3723</v>
      </c>
      <c r="N88" s="3" t="n">
        <v>0.647</v>
      </c>
      <c r="O88" s="3" t="n">
        <v>0.357</v>
      </c>
      <c r="P88" s="3" t="n">
        <v>0.241</v>
      </c>
      <c r="Q88" s="3" t="n">
        <v>0.219</v>
      </c>
      <c r="R88" s="3" t="n">
        <v>0.31</v>
      </c>
      <c r="S88" s="3" t="n"/>
      <c r="T88" s="3" t="n"/>
      <c r="U88" s="3" t="inlineStr">
        <is>
          <t>1.0</t>
        </is>
      </c>
      <c r="V88" s="3" t="inlineStr">
        <is>
          <t>BSD 3-Clause License</t>
        </is>
      </c>
      <c r="W88" s="3" t="n"/>
      <c r="X88" s="3" t="n"/>
      <c r="Y88" s="3" t="n">
        <v>3259</v>
      </c>
      <c r="Z88" s="3" t="n">
        <v>0.159</v>
      </c>
      <c r="AA88" s="3" t="n"/>
      <c r="AB88" s="3" t="n"/>
      <c r="AC88" s="3" t="n">
        <v>464</v>
      </c>
      <c r="AD88" s="3" t="n">
        <v>0.496</v>
      </c>
    </row>
    <row r="89" hidden="1">
      <c r="A89" s="3" t="inlineStr">
        <is>
          <t>FastDPE</t>
        </is>
      </c>
      <c r="B89" s="3" t="n"/>
      <c r="C89" s="3" t="inlineStr">
        <is>
          <t>SFvCSP</t>
        </is>
      </c>
      <c r="D89" s="3" t="inlineStr">
        <is>
          <t>FastDPE Structural Fv Charge Symmetry Parameter-transformed</t>
        </is>
      </c>
      <c r="E89" s="3" t="inlineStr">
        <is>
          <t>Titer</t>
        </is>
      </c>
      <c r="F89" s="3">
        <f>A89&amp;"|"&amp;B89&amp;"|"&amp;C89&amp;"|"&amp;D89&amp;"|"&amp;E89</f>
        <v/>
      </c>
      <c r="G89" s="3">
        <f>COUNTIF($F$2:$F$191,F89)</f>
        <v/>
      </c>
      <c r="H89" s="3" t="n">
        <v>0.199</v>
      </c>
      <c r="I89" s="3">
        <f>_xlfn.MINIFS($H$2:$H$191,$F$2:$F$191,F89)</f>
        <v/>
      </c>
      <c r="J89" s="3">
        <f>_xlfn.MAXIFS($H$2:$H$191,$F$2:$F$191,F89)</f>
        <v/>
      </c>
      <c r="K89" s="3">
        <f>IF(G89=1,"",IF(I89=J89,"EXACT_DUP","MISMATCH"))</f>
        <v/>
      </c>
      <c r="L89" s="3" t="inlineStr">
        <is>
          <t>***</t>
        </is>
      </c>
      <c r="M89" s="3" t="n">
        <v>3723</v>
      </c>
      <c r="N89" s="3" t="n">
        <v>0.353</v>
      </c>
      <c r="O89" s="3" t="n">
        <v>0.207</v>
      </c>
      <c r="P89" s="3" t="n">
        <v>0.112</v>
      </c>
      <c r="Q89" s="3" t="n">
        <v>0.219</v>
      </c>
      <c r="R89" s="3" t="n">
        <v>0.31</v>
      </c>
      <c r="S89" s="3" t="n"/>
      <c r="T89" s="3" t="n"/>
      <c r="U89" s="3" t="inlineStr">
        <is>
          <t>1.0</t>
        </is>
      </c>
      <c r="V89" s="3" t="inlineStr">
        <is>
          <t>BSD 3-Clause License</t>
        </is>
      </c>
      <c r="W89" s="3" t="n"/>
      <c r="X89" s="3" t="n"/>
      <c r="Y89" s="3" t="n">
        <v>3259</v>
      </c>
      <c r="Z89" s="3" t="n">
        <v>0.159</v>
      </c>
      <c r="AA89" s="3" t="n"/>
      <c r="AB89" s="3" t="n"/>
      <c r="AC89" s="3" t="n">
        <v>464</v>
      </c>
      <c r="AD89" s="3" t="n">
        <v>0.496</v>
      </c>
    </row>
    <row r="90" hidden="1">
      <c r="A90" s="3" t="inlineStr">
        <is>
          <t>AbLang2-Perplexity</t>
        </is>
      </c>
      <c r="B90" s="3" t="n"/>
      <c r="C90" s="3" t="inlineStr">
        <is>
          <t>log_likelihood</t>
        </is>
      </c>
      <c r="D90" s="3" t="inlineStr">
        <is>
          <t>AbLang Log-likehood</t>
        </is>
      </c>
      <c r="E90" s="3" t="inlineStr">
        <is>
          <t>Aggregation (Polydispersity idx)</t>
        </is>
      </c>
      <c r="F90" s="3">
        <f>A90&amp;"|"&amp;B90&amp;"|"&amp;C90&amp;"|"&amp;D90&amp;"|"&amp;E90</f>
        <v/>
      </c>
      <c r="G90" s="3">
        <f>COUNTIF($F$2:$F$191,F90)</f>
        <v/>
      </c>
      <c r="H90" s="3" t="n">
        <v>-0.127</v>
      </c>
      <c r="I90" s="3">
        <f>_xlfn.MINIFS($H$2:$H$191,$F$2:$F$191,F90)</f>
        <v/>
      </c>
      <c r="J90" s="3">
        <f>_xlfn.MAXIFS($H$2:$H$191,$F$2:$F$191,F90)</f>
        <v/>
      </c>
      <c r="K90" s="3">
        <f>IF(G90=1,"",IF(I90=J90,"EXACT_DUP","MISMATCH"))</f>
        <v/>
      </c>
      <c r="L90" s="3" t="inlineStr">
        <is>
          <t>***</t>
        </is>
      </c>
      <c r="M90" s="3" t="n">
        <v>1435</v>
      </c>
      <c r="N90" s="3" t="n">
        <v>0.449</v>
      </c>
      <c r="O90" s="3" t="n">
        <v>0.719</v>
      </c>
      <c r="P90" s="3" t="n">
        <v>0.625</v>
      </c>
      <c r="Q90" s="3" t="n">
        <v>0.667</v>
      </c>
      <c r="R90" s="3" t="n">
        <v>0.833</v>
      </c>
      <c r="S90" s="3" t="n"/>
      <c r="T90" s="3" t="n"/>
      <c r="U90" s="3" t="inlineStr">
        <is>
          <t>1.0</t>
        </is>
      </c>
      <c r="V90" s="3" t="inlineStr">
        <is>
          <t>BSD 3-Clause License</t>
        </is>
      </c>
      <c r="W90" s="3" t="n">
        <v>329</v>
      </c>
      <c r="X90" s="3" t="n">
        <v>-0.07000000000000001</v>
      </c>
      <c r="Y90" s="3" t="n">
        <v>822</v>
      </c>
      <c r="Z90" s="3" t="n">
        <v>-0.05</v>
      </c>
      <c r="AA90" s="3" t="n">
        <v>139</v>
      </c>
      <c r="AB90" s="3" t="n">
        <v>-0.379</v>
      </c>
      <c r="AC90" s="3" t="n">
        <v>145</v>
      </c>
      <c r="AD90" s="3" t="n">
        <v>-0.012</v>
      </c>
    </row>
    <row r="91" hidden="1">
      <c r="A91" s="3" t="inlineStr">
        <is>
          <t>AbLang2-Perplexity</t>
        </is>
      </c>
      <c r="B91" s="3" t="n"/>
      <c r="C91" s="3" t="inlineStr">
        <is>
          <t>log_likelihood</t>
        </is>
      </c>
      <c r="D91" s="3" t="inlineStr">
        <is>
          <t>AbLang Log-likehood</t>
        </is>
      </c>
      <c r="E91" s="3" t="inlineStr">
        <is>
          <t>Analytical Size Exclusion Chromatography</t>
        </is>
      </c>
      <c r="F91" s="3">
        <f>A91&amp;"|"&amp;B91&amp;"|"&amp;C91&amp;"|"&amp;D91&amp;"|"&amp;E91</f>
        <v/>
      </c>
      <c r="G91" s="3">
        <f>COUNTIF($F$2:$F$191,F91)</f>
        <v/>
      </c>
      <c r="H91" s="3" t="n">
        <v>-0.022</v>
      </c>
      <c r="I91" s="3">
        <f>_xlfn.MINIFS($H$2:$H$191,$F$2:$F$191,F91)</f>
        <v/>
      </c>
      <c r="J91" s="3">
        <f>_xlfn.MAXIFS($H$2:$H$191,$F$2:$F$191,F91)</f>
        <v/>
      </c>
      <c r="K91" s="3">
        <f>IF(G91=1,"",IF(I91=J91,"EXACT_DUP","MISMATCH"))</f>
        <v/>
      </c>
      <c r="L91" s="3" t="n"/>
      <c r="M91" s="3" t="n">
        <v>1611</v>
      </c>
      <c r="N91" s="3" t="n">
        <v>0.518</v>
      </c>
      <c r="O91" s="3" t="n">
        <v>0.598</v>
      </c>
      <c r="P91" s="3" t="n">
        <v>0.481</v>
      </c>
      <c r="Q91" s="3" t="n">
        <v>0.493</v>
      </c>
      <c r="R91" s="3" t="n">
        <v>0.6909999999999999</v>
      </c>
      <c r="S91" s="3" t="n"/>
      <c r="T91" s="3" t="n"/>
      <c r="U91" s="3" t="inlineStr">
        <is>
          <t>1.0</t>
        </is>
      </c>
      <c r="V91" s="3" t="inlineStr">
        <is>
          <t>BSD 3-Clause License</t>
        </is>
      </c>
      <c r="W91" s="3" t="n">
        <v>353</v>
      </c>
      <c r="X91" s="3" t="n">
        <v>0.111</v>
      </c>
      <c r="Y91" s="3" t="n">
        <v>938</v>
      </c>
      <c r="Z91" s="3" t="n">
        <v>-0.063</v>
      </c>
      <c r="AA91" s="3" t="n">
        <v>156</v>
      </c>
      <c r="AB91" s="3" t="n">
        <v>0.319</v>
      </c>
      <c r="AC91" s="3" t="n">
        <v>164</v>
      </c>
      <c r="AD91" s="3" t="n">
        <v>0.043</v>
      </c>
    </row>
    <row r="92" hidden="1">
      <c r="A92" s="3" t="inlineStr">
        <is>
          <t>AbLang2-Perplexity</t>
        </is>
      </c>
      <c r="B92" s="3" t="n"/>
      <c r="C92" s="3" t="inlineStr">
        <is>
          <t>log_likelihood</t>
        </is>
      </c>
      <c r="D92" s="3" t="inlineStr">
        <is>
          <t>AbLang Log-likehood</t>
        </is>
      </c>
      <c r="E92" s="3" t="inlineStr">
        <is>
          <t>Hydrophobicity</t>
        </is>
      </c>
      <c r="F92" s="3">
        <f>A92&amp;"|"&amp;B92&amp;"|"&amp;C92&amp;"|"&amp;D92&amp;"|"&amp;E92</f>
        <v/>
      </c>
      <c r="G92" s="3">
        <f>COUNTIF($F$2:$F$191,F92)</f>
        <v/>
      </c>
      <c r="H92" s="3" t="n">
        <v>-0.001</v>
      </c>
      <c r="I92" s="3">
        <f>_xlfn.MINIFS($H$2:$H$191,$F$2:$F$191,F92)</f>
        <v/>
      </c>
      <c r="J92" s="3">
        <f>_xlfn.MAXIFS($H$2:$H$191,$F$2:$F$191,F92)</f>
        <v/>
      </c>
      <c r="K92" s="3">
        <f>IF(G92=1,"",IF(I92=J92,"EXACT_DUP","MISMATCH"))</f>
        <v/>
      </c>
      <c r="L92" s="3" t="n"/>
      <c r="M92" s="3" t="n">
        <v>1442</v>
      </c>
      <c r="N92" s="3" t="n"/>
      <c r="O92" s="3" t="n"/>
      <c r="P92" s="3" t="n"/>
      <c r="Q92" s="3" t="n"/>
      <c r="R92" s="3" t="n"/>
      <c r="S92" s="3" t="n"/>
      <c r="T92" s="3" t="n"/>
      <c r="U92" s="3" t="inlineStr">
        <is>
          <t>1.0</t>
        </is>
      </c>
      <c r="V92" s="3" t="inlineStr">
        <is>
          <t>BSD 3-Clause License</t>
        </is>
      </c>
      <c r="W92" s="3" t="n">
        <v>330</v>
      </c>
      <c r="X92" s="3" t="n">
        <v>-0.08599999999999999</v>
      </c>
      <c r="Y92" s="3" t="n">
        <v>825</v>
      </c>
      <c r="Z92" s="3" t="n">
        <v>0.08599999999999999</v>
      </c>
      <c r="AA92" s="3" t="n">
        <v>141</v>
      </c>
      <c r="AB92" s="3" t="n">
        <v>-0.257</v>
      </c>
      <c r="AC92" s="3" t="n">
        <v>146</v>
      </c>
      <c r="AD92" s="3" t="n">
        <v>-0.126</v>
      </c>
    </row>
    <row r="93" hidden="1">
      <c r="A93" s="3" t="inlineStr">
        <is>
          <t>AbLang2-Perplexity</t>
        </is>
      </c>
      <c r="B93" s="3" t="n"/>
      <c r="C93" s="3" t="inlineStr">
        <is>
          <t>log_likelihood</t>
        </is>
      </c>
      <c r="D93" s="3" t="inlineStr">
        <is>
          <t>AbLang Log-likehood</t>
        </is>
      </c>
      <c r="E93" s="3" t="inlineStr">
        <is>
          <t>Polyreactivity (absorbance)</t>
        </is>
      </c>
      <c r="F93" s="3">
        <f>A93&amp;"|"&amp;B93&amp;"|"&amp;C93&amp;"|"&amp;D93&amp;"|"&amp;E93</f>
        <v/>
      </c>
      <c r="G93" s="3">
        <f>COUNTIF($F$2:$F$191,F93)</f>
        <v/>
      </c>
      <c r="H93" s="3" t="n">
        <v>-0.06</v>
      </c>
      <c r="I93" s="3">
        <f>_xlfn.MINIFS($H$2:$H$191,$F$2:$F$191,F93)</f>
        <v/>
      </c>
      <c r="J93" s="3">
        <f>_xlfn.MAXIFS($H$2:$H$191,$F$2:$F$191,F93)</f>
        <v/>
      </c>
      <c r="K93" s="3">
        <f>IF(G93=1,"",IF(I93=J93,"EXACT_DUP","MISMATCH"))</f>
        <v/>
      </c>
      <c r="L93" s="3" t="inlineStr">
        <is>
          <t>*</t>
        </is>
      </c>
      <c r="M93" s="3" t="n">
        <v>1442</v>
      </c>
      <c r="N93" s="3" t="n">
        <v>0.461</v>
      </c>
      <c r="O93" s="3" t="n">
        <v>0.642</v>
      </c>
      <c r="P93" s="3" t="n">
        <v>0.452</v>
      </c>
      <c r="Q93" s="3" t="n">
        <v>0.616</v>
      </c>
      <c r="R93" s="3" t="n">
        <v>0.781</v>
      </c>
      <c r="S93" s="3" t="n"/>
      <c r="T93" s="3" t="n"/>
      <c r="U93" s="3" t="inlineStr">
        <is>
          <t>1.0</t>
        </is>
      </c>
      <c r="V93" s="3" t="inlineStr">
        <is>
          <t>BSD 3-Clause License</t>
        </is>
      </c>
      <c r="W93" s="3" t="n">
        <v>330</v>
      </c>
      <c r="X93" s="3" t="n">
        <v>-0.336</v>
      </c>
      <c r="Y93" s="3" t="n">
        <v>825</v>
      </c>
      <c r="Z93" s="3" t="n">
        <v>0.106</v>
      </c>
      <c r="AA93" s="3" t="n">
        <v>141</v>
      </c>
      <c r="AB93" s="3" t="n">
        <v>-0.224</v>
      </c>
      <c r="AC93" s="3" t="n">
        <v>146</v>
      </c>
      <c r="AD93" s="3" t="n">
        <v>-0.108</v>
      </c>
    </row>
    <row r="94" hidden="1">
      <c r="A94" s="3" t="inlineStr">
        <is>
          <t>AbLang2-Perplexity</t>
        </is>
      </c>
      <c r="B94" s="3" t="n"/>
      <c r="C94" s="3" t="inlineStr">
        <is>
          <t>log_likelihood</t>
        </is>
      </c>
      <c r="D94" s="3" t="inlineStr">
        <is>
          <t>AbLang Log-likehood</t>
        </is>
      </c>
      <c r="E94" s="3" t="inlineStr">
        <is>
          <t>Thermostability (Tm1)</t>
        </is>
      </c>
      <c r="F94" s="3">
        <f>A94&amp;"|"&amp;B94&amp;"|"&amp;C94&amp;"|"&amp;D94&amp;"|"&amp;E94</f>
        <v/>
      </c>
      <c r="G94" s="3">
        <f>COUNTIF($F$2:$F$191,F94)</f>
        <v/>
      </c>
      <c r="H94" s="3" t="n">
        <v>0.14</v>
      </c>
      <c r="I94" s="3">
        <f>_xlfn.MINIFS($H$2:$H$191,$F$2:$F$191,F94)</f>
        <v/>
      </c>
      <c r="J94" s="3">
        <f>_xlfn.MAXIFS($H$2:$H$191,$F$2:$F$191,F94)</f>
        <v/>
      </c>
      <c r="K94" s="3">
        <f>IF(G94=1,"",IF(I94=J94,"EXACT_DUP","MISMATCH"))</f>
        <v/>
      </c>
      <c r="L94" s="3" t="inlineStr">
        <is>
          <t>***</t>
        </is>
      </c>
      <c r="M94" s="3" t="n">
        <v>1568</v>
      </c>
      <c r="N94" s="3" t="n">
        <v>0.553</v>
      </c>
      <c r="O94" s="3" t="n">
        <v>0.627</v>
      </c>
      <c r="P94" s="3" t="n">
        <v>0.6840000000000001</v>
      </c>
      <c r="Q94" s="3" t="n">
        <v>0.506</v>
      </c>
      <c r="R94" s="3" t="n">
        <v>0.6840000000000001</v>
      </c>
      <c r="S94" s="3" t="n"/>
      <c r="T94" s="3" t="n"/>
      <c r="U94" s="3" t="inlineStr">
        <is>
          <t>1.0</t>
        </is>
      </c>
      <c r="V94" s="3" t="inlineStr">
        <is>
          <t>BSD 3-Clause License</t>
        </is>
      </c>
      <c r="W94" s="3" t="n">
        <v>319</v>
      </c>
      <c r="X94" s="3" t="n">
        <v>0.023</v>
      </c>
      <c r="Y94" s="3" t="n">
        <v>943</v>
      </c>
      <c r="Z94" s="3" t="n">
        <v>-0.219</v>
      </c>
      <c r="AA94" s="3" t="n">
        <v>149</v>
      </c>
      <c r="AB94" s="3" t="n">
        <v>0.301</v>
      </c>
      <c r="AC94" s="3" t="n">
        <v>157</v>
      </c>
      <c r="AD94" s="3" t="n">
        <v>-0.05</v>
      </c>
    </row>
    <row r="95" hidden="1">
      <c r="A95" s="3" t="inlineStr">
        <is>
          <t>AbLang2-Perplexity</t>
        </is>
      </c>
      <c r="B95" s="3" t="n"/>
      <c r="C95" s="3" t="inlineStr">
        <is>
          <t>log_likelihood</t>
        </is>
      </c>
      <c r="D95" s="3" t="inlineStr">
        <is>
          <t>AbLang Log-likehood</t>
        </is>
      </c>
      <c r="E95" s="3" t="inlineStr">
        <is>
          <t>Thermostability (Tm2)</t>
        </is>
      </c>
      <c r="F95" s="3">
        <f>A95&amp;"|"&amp;B95&amp;"|"&amp;C95&amp;"|"&amp;D95&amp;"|"&amp;E95</f>
        <v/>
      </c>
      <c r="G95" s="3">
        <f>COUNTIF($F$2:$F$191,F95)</f>
        <v/>
      </c>
      <c r="H95" s="3" t="n">
        <v>0.053</v>
      </c>
      <c r="I95" s="3">
        <f>_xlfn.MINIFS($H$2:$H$191,$F$2:$F$191,F95)</f>
        <v/>
      </c>
      <c r="J95" s="3">
        <f>_xlfn.MAXIFS($H$2:$H$191,$F$2:$F$191,F95)</f>
        <v/>
      </c>
      <c r="K95" s="3">
        <f>IF(G95=1,"",IF(I95=J95,"EXACT_DUP","MISMATCH"))</f>
        <v/>
      </c>
      <c r="L95" s="3" t="n"/>
      <c r="M95" s="3" t="n">
        <v>1196</v>
      </c>
      <c r="N95" s="3" t="n">
        <v>0.552</v>
      </c>
      <c r="O95" s="3" t="n">
        <v>0.677</v>
      </c>
      <c r="P95" s="3" t="n">
        <v>0.6830000000000001</v>
      </c>
      <c r="Q95" s="3" t="n">
        <v>0.533</v>
      </c>
      <c r="R95" s="3" t="n">
        <v>0.717</v>
      </c>
      <c r="S95" s="3" t="n"/>
      <c r="T95" s="3" t="n"/>
      <c r="U95" s="3" t="inlineStr">
        <is>
          <t>1.0</t>
        </is>
      </c>
      <c r="V95" s="3" t="inlineStr">
        <is>
          <t>BSD 3-Clause License</t>
        </is>
      </c>
      <c r="W95" s="3" t="n">
        <v>287</v>
      </c>
      <c r="X95" s="3" t="n">
        <v>-0.162</v>
      </c>
      <c r="Y95" s="3" t="n">
        <v>636</v>
      </c>
      <c r="Z95" s="3" t="n">
        <v>-0.105</v>
      </c>
      <c r="AA95" s="3" t="n">
        <v>146</v>
      </c>
      <c r="AB95" s="3" t="n">
        <v>0.27</v>
      </c>
      <c r="AC95" s="3" t="n">
        <v>127</v>
      </c>
      <c r="AD95" s="3" t="n">
        <v>0.015</v>
      </c>
    </row>
    <row r="96" hidden="1">
      <c r="A96" s="3" t="inlineStr">
        <is>
          <t>AbLang2-Perplexity</t>
        </is>
      </c>
      <c r="B96" s="3" t="n"/>
      <c r="C96" s="3" t="inlineStr">
        <is>
          <t>log_likelihood</t>
        </is>
      </c>
      <c r="D96" s="3" t="inlineStr">
        <is>
          <t>AbLang Log-likehood</t>
        </is>
      </c>
      <c r="E96" s="3" t="inlineStr">
        <is>
          <t>Thermostability (Tm3)</t>
        </is>
      </c>
      <c r="F96" s="3">
        <f>A96&amp;"|"&amp;B96&amp;"|"&amp;C96&amp;"|"&amp;D96&amp;"|"&amp;E96</f>
        <v/>
      </c>
      <c r="G96" s="3">
        <f>COUNTIF($F$2:$F$191,F96)</f>
        <v/>
      </c>
      <c r="H96" s="3" t="n">
        <v>-0.057</v>
      </c>
      <c r="I96" s="3">
        <f>_xlfn.MINIFS($H$2:$H$191,$F$2:$F$191,F96)</f>
        <v/>
      </c>
      <c r="J96" s="3">
        <f>_xlfn.MAXIFS($H$2:$H$191,$F$2:$F$191,F96)</f>
        <v/>
      </c>
      <c r="K96" s="3">
        <f>IF(G96=1,"",IF(I96=J96,"EXACT_DUP","MISMATCH"))</f>
        <v/>
      </c>
      <c r="L96" s="3" t="n"/>
      <c r="M96" s="3" t="n">
        <v>189</v>
      </c>
      <c r="N96" s="3" t="n">
        <v>0.553</v>
      </c>
      <c r="O96" s="3" t="n">
        <v>0.48</v>
      </c>
      <c r="P96" s="3" t="n">
        <v>0.6</v>
      </c>
      <c r="Q96" s="3" t="n">
        <v>0.2</v>
      </c>
      <c r="R96" s="3" t="n">
        <v>0.705</v>
      </c>
      <c r="S96" s="3" t="n"/>
      <c r="T96" s="3" t="n"/>
      <c r="U96" s="3" t="inlineStr">
        <is>
          <t>1.0</t>
        </is>
      </c>
      <c r="V96" s="3" t="inlineStr">
        <is>
          <t>BSD 3-Clause License</t>
        </is>
      </c>
      <c r="W96" s="3" t="n">
        <v>84</v>
      </c>
      <c r="X96" s="3" t="n">
        <v>-0.236</v>
      </c>
      <c r="Y96" s="3" t="n">
        <v>42</v>
      </c>
      <c r="Z96" s="3" t="n">
        <v>-0.221</v>
      </c>
      <c r="AA96" s="3" t="n">
        <v>60</v>
      </c>
      <c r="AB96" s="3" t="n">
        <v>0.239</v>
      </c>
      <c r="AC96" s="3" t="n">
        <v>3</v>
      </c>
      <c r="AD96" s="3" t="n">
        <v>-1</v>
      </c>
    </row>
    <row r="97" hidden="1">
      <c r="A97" s="3" t="inlineStr">
        <is>
          <t>AbLang2-Perplexity</t>
        </is>
      </c>
      <c r="B97" s="3" t="n"/>
      <c r="C97" s="3" t="inlineStr">
        <is>
          <t>log_likelihood</t>
        </is>
      </c>
      <c r="D97" s="3" t="inlineStr">
        <is>
          <t>AbLang Log-likehood</t>
        </is>
      </c>
      <c r="E97" s="3" t="inlineStr">
        <is>
          <t>Thermostability (onset)</t>
        </is>
      </c>
      <c r="F97" s="3">
        <f>A97&amp;"|"&amp;B97&amp;"|"&amp;C97&amp;"|"&amp;D97&amp;"|"&amp;E97</f>
        <v/>
      </c>
      <c r="G97" s="3">
        <f>COUNTIF($F$2:$F$191,F97)</f>
        <v/>
      </c>
      <c r="H97" s="3" t="n">
        <v>0.159</v>
      </c>
      <c r="I97" s="3">
        <f>_xlfn.MINIFS($H$2:$H$191,$F$2:$F$191,F97)</f>
        <v/>
      </c>
      <c r="J97" s="3">
        <f>_xlfn.MAXIFS($H$2:$H$191,$F$2:$F$191,F97)</f>
        <v/>
      </c>
      <c r="K97" s="3">
        <f>IF(G97=1,"",IF(I97=J97,"EXACT_DUP","MISMATCH"))</f>
        <v/>
      </c>
      <c r="L97" s="3" t="inlineStr">
        <is>
          <t>***</t>
        </is>
      </c>
      <c r="M97" s="3" t="n">
        <v>1565</v>
      </c>
      <c r="N97" s="3" t="n">
        <v>0.579</v>
      </c>
      <c r="O97" s="3" t="n">
        <v>0.674</v>
      </c>
      <c r="P97" s="3" t="n">
        <v>0.734</v>
      </c>
      <c r="Q97" s="3" t="n">
        <v>0.518</v>
      </c>
      <c r="R97" s="3" t="n">
        <v>0.697</v>
      </c>
      <c r="S97" s="3" t="n"/>
      <c r="T97" s="3" t="n"/>
      <c r="U97" s="3" t="inlineStr">
        <is>
          <t>1.0</t>
        </is>
      </c>
      <c r="V97" s="3" t="inlineStr">
        <is>
          <t>BSD 3-Clause License</t>
        </is>
      </c>
      <c r="W97" s="3" t="n">
        <v>319</v>
      </c>
      <c r="X97" s="3" t="n">
        <v>-0.02</v>
      </c>
      <c r="Y97" s="3" t="n">
        <v>940</v>
      </c>
      <c r="Z97" s="3" t="n">
        <v>-0.186</v>
      </c>
      <c r="AA97" s="3" t="n">
        <v>149</v>
      </c>
      <c r="AB97" s="3" t="n">
        <v>0.376</v>
      </c>
      <c r="AC97" s="3" t="n">
        <v>157</v>
      </c>
      <c r="AD97" s="3" t="n">
        <v>-0.063</v>
      </c>
    </row>
    <row r="98" hidden="1">
      <c r="A98" s="3" t="inlineStr">
        <is>
          <t>AbLang2-Perplexity</t>
        </is>
      </c>
      <c r="B98" s="3" t="n"/>
      <c r="C98" s="3" t="inlineStr">
        <is>
          <t>log_likelihood</t>
        </is>
      </c>
      <c r="D98" s="3" t="inlineStr">
        <is>
          <t>AbLang Log-likehood</t>
        </is>
      </c>
      <c r="E98" s="3" t="inlineStr">
        <is>
          <t>Titer</t>
        </is>
      </c>
      <c r="F98" s="3">
        <f>A98&amp;"|"&amp;B98&amp;"|"&amp;C98&amp;"|"&amp;D98&amp;"|"&amp;E98</f>
        <v/>
      </c>
      <c r="G98" s="3">
        <f>COUNTIF($F$2:$F$191,F98)</f>
        <v/>
      </c>
      <c r="H98" s="3" t="n">
        <v>0.382</v>
      </c>
      <c r="I98" s="3">
        <f>_xlfn.MINIFS($H$2:$H$191,$F$2:$F$191,F98)</f>
        <v/>
      </c>
      <c r="J98" s="3">
        <f>_xlfn.MAXIFS($H$2:$H$191,$F$2:$F$191,F98)</f>
        <v/>
      </c>
      <c r="K98" s="3">
        <f>IF(G98=1,"",IF(I98=J98,"EXACT_DUP","MISMATCH"))</f>
        <v/>
      </c>
      <c r="L98" s="3" t="inlineStr">
        <is>
          <t>***</t>
        </is>
      </c>
      <c r="M98" s="3" t="n">
        <v>4671</v>
      </c>
      <c r="N98" s="3" t="n">
        <v>0.759</v>
      </c>
      <c r="O98" s="3" t="n">
        <v>0.58</v>
      </c>
      <c r="P98" s="3" t="n">
        <v>0.795</v>
      </c>
      <c r="Q98" s="3" t="n">
        <v>0.26</v>
      </c>
      <c r="R98" s="3" t="n">
        <v>0.351</v>
      </c>
      <c r="S98" s="3" t="n"/>
      <c r="T98" s="3" t="n"/>
      <c r="U98" s="3" t="inlineStr">
        <is>
          <t>1.0</t>
        </is>
      </c>
      <c r="V98" s="3" t="inlineStr">
        <is>
          <t>BSD 3-Clause License</t>
        </is>
      </c>
      <c r="W98" s="3" t="n">
        <v>658</v>
      </c>
      <c r="X98" s="3" t="n">
        <v>0.609</v>
      </c>
      <c r="Y98" s="3" t="n">
        <v>3259</v>
      </c>
      <c r="Z98" s="3" t="n">
        <v>0.45</v>
      </c>
      <c r="AA98" s="3" t="n">
        <v>290</v>
      </c>
      <c r="AB98" s="3" t="n">
        <v>0.733</v>
      </c>
      <c r="AC98" s="3" t="n">
        <v>464</v>
      </c>
      <c r="AD98" s="3" t="n">
        <v>0.699</v>
      </c>
    </row>
    <row r="99" hidden="1">
      <c r="A99" s="3" t="inlineStr">
        <is>
          <t>AbLang2-Perplexity</t>
        </is>
      </c>
      <c r="B99" s="3" t="n"/>
      <c r="C99" s="3" t="inlineStr">
        <is>
          <t>perplexity</t>
        </is>
      </c>
      <c r="D99" s="3" t="inlineStr">
        <is>
          <t>AbLang Perplexity</t>
        </is>
      </c>
      <c r="E99" s="3" t="inlineStr">
        <is>
          <t>Aggregation (Polydispersity idx)</t>
        </is>
      </c>
      <c r="F99" s="3">
        <f>A99&amp;"|"&amp;B99&amp;"|"&amp;C99&amp;"|"&amp;D99&amp;"|"&amp;E99</f>
        <v/>
      </c>
      <c r="G99" s="3">
        <f>COUNTIF($F$2:$F$191,F99)</f>
        <v/>
      </c>
      <c r="H99" s="3" t="n">
        <v>0.127</v>
      </c>
      <c r="I99" s="3">
        <f>_xlfn.MINIFS($H$2:$H$191,$F$2:$F$191,F99)</f>
        <v/>
      </c>
      <c r="J99" s="3">
        <f>_xlfn.MAXIFS($H$2:$H$191,$F$2:$F$191,F99)</f>
        <v/>
      </c>
      <c r="K99" s="3">
        <f>IF(G99=1,"",IF(I99=J99,"EXACT_DUP","MISMATCH"))</f>
        <v/>
      </c>
      <c r="L99" s="3" t="inlineStr">
        <is>
          <t>***</t>
        </is>
      </c>
      <c r="M99" s="3" t="n">
        <v>1435</v>
      </c>
      <c r="N99" s="3" t="n">
        <v>0.449</v>
      </c>
      <c r="O99" s="3" t="n">
        <v>0.719</v>
      </c>
      <c r="P99" s="3" t="n">
        <v>0.625</v>
      </c>
      <c r="Q99" s="3" t="n">
        <v>0.667</v>
      </c>
      <c r="R99" s="3" t="n">
        <v>0.833</v>
      </c>
      <c r="S99" s="3" t="n"/>
      <c r="T99" s="3" t="n"/>
      <c r="U99" s="3" t="inlineStr">
        <is>
          <t>1.0</t>
        </is>
      </c>
      <c r="V99" s="3" t="inlineStr">
        <is>
          <t>BSD 3-Clause License</t>
        </is>
      </c>
      <c r="W99" s="3" t="n">
        <v>329</v>
      </c>
      <c r="X99" s="3" t="n">
        <v>0.07000000000000001</v>
      </c>
      <c r="Y99" s="3" t="n">
        <v>822</v>
      </c>
      <c r="Z99" s="3" t="n">
        <v>0.05</v>
      </c>
      <c r="AA99" s="3" t="n">
        <v>139</v>
      </c>
      <c r="AB99" s="3" t="n">
        <v>0.379</v>
      </c>
      <c r="AC99" s="3" t="n">
        <v>145</v>
      </c>
      <c r="AD99" s="3" t="n">
        <v>0.012</v>
      </c>
    </row>
    <row r="100" hidden="1">
      <c r="A100" s="3" t="inlineStr">
        <is>
          <t>AbLang2-Perplexity</t>
        </is>
      </c>
      <c r="B100" s="3" t="n"/>
      <c r="C100" s="3" t="inlineStr">
        <is>
          <t>perplexity</t>
        </is>
      </c>
      <c r="D100" s="3" t="inlineStr">
        <is>
          <t>AbLang Perplexity</t>
        </is>
      </c>
      <c r="E100" s="3" t="inlineStr">
        <is>
          <t>Analytical Size Exclusion Chromatography</t>
        </is>
      </c>
      <c r="F100" s="3">
        <f>A100&amp;"|"&amp;B100&amp;"|"&amp;C100&amp;"|"&amp;D100&amp;"|"&amp;E100</f>
        <v/>
      </c>
      <c r="G100" s="3">
        <f>COUNTIF($F$2:$F$191,F100)</f>
        <v/>
      </c>
      <c r="H100" s="3" t="n">
        <v>0.022</v>
      </c>
      <c r="I100" s="3">
        <f>_xlfn.MINIFS($H$2:$H$191,$F$2:$F$191,F100)</f>
        <v/>
      </c>
      <c r="J100" s="3">
        <f>_xlfn.MAXIFS($H$2:$H$191,$F$2:$F$191,F100)</f>
        <v/>
      </c>
      <c r="K100" s="3">
        <f>IF(G100=1,"",IF(I100=J100,"EXACT_DUP","MISMATCH"))</f>
        <v/>
      </c>
      <c r="L100" s="3" t="n"/>
      <c r="M100" s="3" t="n">
        <v>1611</v>
      </c>
      <c r="N100" s="3" t="n">
        <v>0.518</v>
      </c>
      <c r="O100" s="3" t="n">
        <v>0.598</v>
      </c>
      <c r="P100" s="3" t="n">
        <v>0.481</v>
      </c>
      <c r="Q100" s="3" t="n">
        <v>0.493</v>
      </c>
      <c r="R100" s="3" t="n">
        <v>0.6909999999999999</v>
      </c>
      <c r="S100" s="3" t="n"/>
      <c r="T100" s="3" t="n"/>
      <c r="U100" s="3" t="inlineStr">
        <is>
          <t>1.0</t>
        </is>
      </c>
      <c r="V100" s="3" t="inlineStr">
        <is>
          <t>BSD 3-Clause License</t>
        </is>
      </c>
      <c r="W100" s="3" t="n">
        <v>353</v>
      </c>
      <c r="X100" s="3" t="n">
        <v>-0.111</v>
      </c>
      <c r="Y100" s="3" t="n">
        <v>938</v>
      </c>
      <c r="Z100" s="3" t="n">
        <v>0.063</v>
      </c>
      <c r="AA100" s="3" t="n">
        <v>156</v>
      </c>
      <c r="AB100" s="3" t="n">
        <v>-0.319</v>
      </c>
      <c r="AC100" s="3" t="n">
        <v>164</v>
      </c>
      <c r="AD100" s="3" t="n">
        <v>-0.043</v>
      </c>
    </row>
    <row r="101" hidden="1">
      <c r="A101" s="3" t="inlineStr">
        <is>
          <t>AbLang2-Perplexity</t>
        </is>
      </c>
      <c r="B101" s="3" t="n"/>
      <c r="C101" s="3" t="inlineStr">
        <is>
          <t>perplexity</t>
        </is>
      </c>
      <c r="D101" s="3" t="inlineStr">
        <is>
          <t>AbLang Perplexity</t>
        </is>
      </c>
      <c r="E101" s="3" t="inlineStr">
        <is>
          <t>Hydrophobicity</t>
        </is>
      </c>
      <c r="F101" s="3">
        <f>A101&amp;"|"&amp;B101&amp;"|"&amp;C101&amp;"|"&amp;D101&amp;"|"&amp;E101</f>
        <v/>
      </c>
      <c r="G101" s="3">
        <f>COUNTIF($F$2:$F$191,F101)</f>
        <v/>
      </c>
      <c r="H101" s="3" t="n">
        <v>0.001</v>
      </c>
      <c r="I101" s="3">
        <f>_xlfn.MINIFS($H$2:$H$191,$F$2:$F$191,F101)</f>
        <v/>
      </c>
      <c r="J101" s="3">
        <f>_xlfn.MAXIFS($H$2:$H$191,$F$2:$F$191,F101)</f>
        <v/>
      </c>
      <c r="K101" s="3">
        <f>IF(G101=1,"",IF(I101=J101,"EXACT_DUP","MISMATCH"))</f>
        <v/>
      </c>
      <c r="L101" s="3" t="n"/>
      <c r="M101" s="3" t="n">
        <v>1442</v>
      </c>
      <c r="N101" s="3" t="n"/>
      <c r="O101" s="3" t="n"/>
      <c r="P101" s="3" t="n"/>
      <c r="Q101" s="3" t="n"/>
      <c r="R101" s="3" t="n"/>
      <c r="S101" s="3" t="n"/>
      <c r="T101" s="3" t="n"/>
      <c r="U101" s="3" t="inlineStr">
        <is>
          <t>1.0</t>
        </is>
      </c>
      <c r="V101" s="3" t="inlineStr">
        <is>
          <t>BSD 3-Clause License</t>
        </is>
      </c>
      <c r="W101" s="3" t="n">
        <v>330</v>
      </c>
      <c r="X101" s="3" t="n">
        <v>0.08599999999999999</v>
      </c>
      <c r="Y101" s="3" t="n">
        <v>825</v>
      </c>
      <c r="Z101" s="3" t="n">
        <v>-0.08599999999999999</v>
      </c>
      <c r="AA101" s="3" t="n">
        <v>141</v>
      </c>
      <c r="AB101" s="3" t="n">
        <v>0.257</v>
      </c>
      <c r="AC101" s="3" t="n">
        <v>146</v>
      </c>
      <c r="AD101" s="3" t="n">
        <v>0.126</v>
      </c>
    </row>
    <row r="102" hidden="1">
      <c r="A102" s="3" t="inlineStr">
        <is>
          <t>AbLang2-Perplexity</t>
        </is>
      </c>
      <c r="B102" s="3" t="n"/>
      <c r="C102" s="3" t="inlineStr">
        <is>
          <t>perplexity</t>
        </is>
      </c>
      <c r="D102" s="3" t="inlineStr">
        <is>
          <t>AbLang Perplexity</t>
        </is>
      </c>
      <c r="E102" s="3" t="inlineStr">
        <is>
          <t>Polyreactivity (absorbance)</t>
        </is>
      </c>
      <c r="F102" s="3">
        <f>A102&amp;"|"&amp;B102&amp;"|"&amp;C102&amp;"|"&amp;D102&amp;"|"&amp;E102</f>
        <v/>
      </c>
      <c r="G102" s="3">
        <f>COUNTIF($F$2:$F$191,F102)</f>
        <v/>
      </c>
      <c r="H102" s="3" t="n">
        <v>0.06</v>
      </c>
      <c r="I102" s="3">
        <f>_xlfn.MINIFS($H$2:$H$191,$F$2:$F$191,F102)</f>
        <v/>
      </c>
      <c r="J102" s="3">
        <f>_xlfn.MAXIFS($H$2:$H$191,$F$2:$F$191,F102)</f>
        <v/>
      </c>
      <c r="K102" s="3">
        <f>IF(G102=1,"",IF(I102=J102,"EXACT_DUP","MISMATCH"))</f>
        <v/>
      </c>
      <c r="L102" s="3" t="inlineStr">
        <is>
          <t>*</t>
        </is>
      </c>
      <c r="M102" s="3" t="n">
        <v>1442</v>
      </c>
      <c r="N102" s="3" t="n">
        <v>0.461</v>
      </c>
      <c r="O102" s="3" t="n">
        <v>0.642</v>
      </c>
      <c r="P102" s="3" t="n">
        <v>0.452</v>
      </c>
      <c r="Q102" s="3" t="n">
        <v>0.616</v>
      </c>
      <c r="R102" s="3" t="n">
        <v>0.781</v>
      </c>
      <c r="S102" s="3" t="n"/>
      <c r="T102" s="3" t="n"/>
      <c r="U102" s="3" t="inlineStr">
        <is>
          <t>1.0</t>
        </is>
      </c>
      <c r="V102" s="3" t="inlineStr">
        <is>
          <t>BSD 3-Clause License</t>
        </is>
      </c>
      <c r="W102" s="3" t="n">
        <v>330</v>
      </c>
      <c r="X102" s="3" t="n">
        <v>0.336</v>
      </c>
      <c r="Y102" s="3" t="n">
        <v>825</v>
      </c>
      <c r="Z102" s="3" t="n">
        <v>-0.106</v>
      </c>
      <c r="AA102" s="3" t="n">
        <v>141</v>
      </c>
      <c r="AB102" s="3" t="n">
        <v>0.224</v>
      </c>
      <c r="AC102" s="3" t="n">
        <v>146</v>
      </c>
      <c r="AD102" s="3" t="n">
        <v>0.108</v>
      </c>
    </row>
    <row r="103" hidden="1">
      <c r="A103" s="3" t="inlineStr">
        <is>
          <t>AbLang2-Perplexity</t>
        </is>
      </c>
      <c r="B103" s="3" t="n"/>
      <c r="C103" s="3" t="inlineStr">
        <is>
          <t>perplexity</t>
        </is>
      </c>
      <c r="D103" s="3" t="inlineStr">
        <is>
          <t>AbLang Perplexity</t>
        </is>
      </c>
      <c r="E103" s="3" t="inlineStr">
        <is>
          <t>Thermostability (Tm1)</t>
        </is>
      </c>
      <c r="F103" s="3">
        <f>A103&amp;"|"&amp;B103&amp;"|"&amp;C103&amp;"|"&amp;D103&amp;"|"&amp;E103</f>
        <v/>
      </c>
      <c r="G103" s="3">
        <f>COUNTIF($F$2:$F$191,F103)</f>
        <v/>
      </c>
      <c r="H103" s="3" t="n">
        <v>-0.14</v>
      </c>
      <c r="I103" s="3">
        <f>_xlfn.MINIFS($H$2:$H$191,$F$2:$F$191,F103)</f>
        <v/>
      </c>
      <c r="J103" s="3">
        <f>_xlfn.MAXIFS($H$2:$H$191,$F$2:$F$191,F103)</f>
        <v/>
      </c>
      <c r="K103" s="3">
        <f>IF(G103=1,"",IF(I103=J103,"EXACT_DUP","MISMATCH"))</f>
        <v/>
      </c>
      <c r="L103" s="3" t="inlineStr">
        <is>
          <t>***</t>
        </is>
      </c>
      <c r="M103" s="3" t="n">
        <v>1568</v>
      </c>
      <c r="N103" s="3" t="n">
        <v>0.553</v>
      </c>
      <c r="O103" s="3" t="n">
        <v>0.627</v>
      </c>
      <c r="P103" s="3" t="n">
        <v>0.6840000000000001</v>
      </c>
      <c r="Q103" s="3" t="n">
        <v>0.506</v>
      </c>
      <c r="R103" s="3" t="n">
        <v>0.6840000000000001</v>
      </c>
      <c r="S103" s="3" t="n"/>
      <c r="T103" s="3" t="n"/>
      <c r="U103" s="3" t="inlineStr">
        <is>
          <t>1.0</t>
        </is>
      </c>
      <c r="V103" s="3" t="inlineStr">
        <is>
          <t>BSD 3-Clause License</t>
        </is>
      </c>
      <c r="W103" s="3" t="n">
        <v>319</v>
      </c>
      <c r="X103" s="3" t="n">
        <v>-0.023</v>
      </c>
      <c r="Y103" s="3" t="n">
        <v>943</v>
      </c>
      <c r="Z103" s="3" t="n">
        <v>0.219</v>
      </c>
      <c r="AA103" s="3" t="n">
        <v>149</v>
      </c>
      <c r="AB103" s="3" t="n">
        <v>-0.301</v>
      </c>
      <c r="AC103" s="3" t="n">
        <v>157</v>
      </c>
      <c r="AD103" s="3" t="n">
        <v>0.05</v>
      </c>
    </row>
    <row r="104" hidden="1">
      <c r="A104" s="3" t="inlineStr">
        <is>
          <t>AbLang2-Perplexity</t>
        </is>
      </c>
      <c r="B104" s="3" t="n"/>
      <c r="C104" s="3" t="inlineStr">
        <is>
          <t>perplexity</t>
        </is>
      </c>
      <c r="D104" s="3" t="inlineStr">
        <is>
          <t>AbLang Perplexity</t>
        </is>
      </c>
      <c r="E104" s="3" t="inlineStr">
        <is>
          <t>Thermostability (Tm2)</t>
        </is>
      </c>
      <c r="F104" s="3">
        <f>A104&amp;"|"&amp;B104&amp;"|"&amp;C104&amp;"|"&amp;D104&amp;"|"&amp;E104</f>
        <v/>
      </c>
      <c r="G104" s="3">
        <f>COUNTIF($F$2:$F$191,F104)</f>
        <v/>
      </c>
      <c r="H104" s="3" t="n">
        <v>-0.053</v>
      </c>
      <c r="I104" s="3">
        <f>_xlfn.MINIFS($H$2:$H$191,$F$2:$F$191,F104)</f>
        <v/>
      </c>
      <c r="J104" s="3">
        <f>_xlfn.MAXIFS($H$2:$H$191,$F$2:$F$191,F104)</f>
        <v/>
      </c>
      <c r="K104" s="3">
        <f>IF(G104=1,"",IF(I104=J104,"EXACT_DUP","MISMATCH"))</f>
        <v/>
      </c>
      <c r="L104" s="3" t="n"/>
      <c r="M104" s="3" t="n">
        <v>1196</v>
      </c>
      <c r="N104" s="3" t="n">
        <v>0.552</v>
      </c>
      <c r="O104" s="3" t="n">
        <v>0.677</v>
      </c>
      <c r="P104" s="3" t="n">
        <v>0.6830000000000001</v>
      </c>
      <c r="Q104" s="3" t="n">
        <v>0.533</v>
      </c>
      <c r="R104" s="3" t="n">
        <v>0.717</v>
      </c>
      <c r="S104" s="3" t="n"/>
      <c r="T104" s="3" t="n"/>
      <c r="U104" s="3" t="inlineStr">
        <is>
          <t>1.0</t>
        </is>
      </c>
      <c r="V104" s="3" t="inlineStr">
        <is>
          <t>BSD 3-Clause License</t>
        </is>
      </c>
      <c r="W104" s="3" t="n">
        <v>287</v>
      </c>
      <c r="X104" s="3" t="n">
        <v>0.162</v>
      </c>
      <c r="Y104" s="3" t="n">
        <v>636</v>
      </c>
      <c r="Z104" s="3" t="n">
        <v>0.105</v>
      </c>
      <c r="AA104" s="3" t="n">
        <v>146</v>
      </c>
      <c r="AB104" s="3" t="n">
        <v>-0.27</v>
      </c>
      <c r="AC104" s="3" t="n">
        <v>127</v>
      </c>
      <c r="AD104" s="3" t="n">
        <v>-0.015</v>
      </c>
    </row>
    <row r="105" hidden="1">
      <c r="A105" s="3" t="inlineStr">
        <is>
          <t>AbLang2-Perplexity</t>
        </is>
      </c>
      <c r="B105" s="3" t="n"/>
      <c r="C105" s="3" t="inlineStr">
        <is>
          <t>perplexity</t>
        </is>
      </c>
      <c r="D105" s="3" t="inlineStr">
        <is>
          <t>AbLang Perplexity</t>
        </is>
      </c>
      <c r="E105" s="3" t="inlineStr">
        <is>
          <t>Thermostability (Tm3)</t>
        </is>
      </c>
      <c r="F105" s="3">
        <f>A105&amp;"|"&amp;B105&amp;"|"&amp;C105&amp;"|"&amp;D105&amp;"|"&amp;E105</f>
        <v/>
      </c>
      <c r="G105" s="3">
        <f>COUNTIF($F$2:$F$191,F105)</f>
        <v/>
      </c>
      <c r="H105" s="3" t="n">
        <v>0.057</v>
      </c>
      <c r="I105" s="3">
        <f>_xlfn.MINIFS($H$2:$H$191,$F$2:$F$191,F105)</f>
        <v/>
      </c>
      <c r="J105" s="3">
        <f>_xlfn.MAXIFS($H$2:$H$191,$F$2:$F$191,F105)</f>
        <v/>
      </c>
      <c r="K105" s="3">
        <f>IF(G105=1,"",IF(I105=J105,"EXACT_DUP","MISMATCH"))</f>
        <v/>
      </c>
      <c r="L105" s="3" t="n"/>
      <c r="M105" s="3" t="n">
        <v>189</v>
      </c>
      <c r="N105" s="3" t="n">
        <v>0.553</v>
      </c>
      <c r="O105" s="3" t="n">
        <v>0.48</v>
      </c>
      <c r="P105" s="3" t="n">
        <v>0.6</v>
      </c>
      <c r="Q105" s="3" t="n">
        <v>0.2</v>
      </c>
      <c r="R105" s="3" t="n">
        <v>0.705</v>
      </c>
      <c r="S105" s="3" t="n"/>
      <c r="T105" s="3" t="n"/>
      <c r="U105" s="3" t="inlineStr">
        <is>
          <t>1.0</t>
        </is>
      </c>
      <c r="V105" s="3" t="inlineStr">
        <is>
          <t>BSD 3-Clause License</t>
        </is>
      </c>
      <c r="W105" s="3" t="n">
        <v>84</v>
      </c>
      <c r="X105" s="3" t="n">
        <v>0.236</v>
      </c>
      <c r="Y105" s="3" t="n">
        <v>42</v>
      </c>
      <c r="Z105" s="3" t="n">
        <v>0.221</v>
      </c>
      <c r="AA105" s="3" t="n">
        <v>60</v>
      </c>
      <c r="AB105" s="3" t="n">
        <v>-0.239</v>
      </c>
      <c r="AC105" s="3" t="n">
        <v>3</v>
      </c>
      <c r="AD105" s="3" t="n">
        <v>1</v>
      </c>
    </row>
    <row r="106" hidden="1">
      <c r="A106" s="3" t="inlineStr">
        <is>
          <t>AbLang2-Perplexity</t>
        </is>
      </c>
      <c r="B106" s="3" t="n"/>
      <c r="C106" s="3" t="inlineStr">
        <is>
          <t>perplexity</t>
        </is>
      </c>
      <c r="D106" s="3" t="inlineStr">
        <is>
          <t>AbLang Perplexity</t>
        </is>
      </c>
      <c r="E106" s="3" t="inlineStr">
        <is>
          <t>Thermostability (onset)</t>
        </is>
      </c>
      <c r="F106" s="3">
        <f>A106&amp;"|"&amp;B106&amp;"|"&amp;C106&amp;"|"&amp;D106&amp;"|"&amp;E106</f>
        <v/>
      </c>
      <c r="G106" s="3">
        <f>COUNTIF($F$2:$F$191,F106)</f>
        <v/>
      </c>
      <c r="H106" s="3" t="n">
        <v>-0.159</v>
      </c>
      <c r="I106" s="3">
        <f>_xlfn.MINIFS($H$2:$H$191,$F$2:$F$191,F106)</f>
        <v/>
      </c>
      <c r="J106" s="3">
        <f>_xlfn.MAXIFS($H$2:$H$191,$F$2:$F$191,F106)</f>
        <v/>
      </c>
      <c r="K106" s="3">
        <f>IF(G106=1,"",IF(I106=J106,"EXACT_DUP","MISMATCH"))</f>
        <v/>
      </c>
      <c r="L106" s="3" t="inlineStr">
        <is>
          <t>***</t>
        </is>
      </c>
      <c r="M106" s="3" t="n">
        <v>1565</v>
      </c>
      <c r="N106" s="3" t="n">
        <v>0.579</v>
      </c>
      <c r="O106" s="3" t="n">
        <v>0.674</v>
      </c>
      <c r="P106" s="3" t="n">
        <v>0.734</v>
      </c>
      <c r="Q106" s="3" t="n">
        <v>0.518</v>
      </c>
      <c r="R106" s="3" t="n">
        <v>0.697</v>
      </c>
      <c r="S106" s="3" t="n"/>
      <c r="T106" s="3" t="n"/>
      <c r="U106" s="3" t="inlineStr">
        <is>
          <t>1.0</t>
        </is>
      </c>
      <c r="V106" s="3" t="inlineStr">
        <is>
          <t>BSD 3-Clause License</t>
        </is>
      </c>
      <c r="W106" s="3" t="n">
        <v>319</v>
      </c>
      <c r="X106" s="3" t="n">
        <v>0.02</v>
      </c>
      <c r="Y106" s="3" t="n">
        <v>940</v>
      </c>
      <c r="Z106" s="3" t="n">
        <v>0.186</v>
      </c>
      <c r="AA106" s="3" t="n">
        <v>149</v>
      </c>
      <c r="AB106" s="3" t="n">
        <v>-0.376</v>
      </c>
      <c r="AC106" s="3" t="n">
        <v>157</v>
      </c>
      <c r="AD106" s="3" t="n">
        <v>0.063</v>
      </c>
    </row>
    <row r="107" hidden="1">
      <c r="A107" s="3" t="inlineStr">
        <is>
          <t>AbLang2-Perplexity</t>
        </is>
      </c>
      <c r="B107" s="3" t="n"/>
      <c r="C107" s="3" t="inlineStr">
        <is>
          <t>perplexity</t>
        </is>
      </c>
      <c r="D107" s="3" t="inlineStr">
        <is>
          <t>AbLang Perplexity</t>
        </is>
      </c>
      <c r="E107" s="3" t="inlineStr">
        <is>
          <t>Titer</t>
        </is>
      </c>
      <c r="F107" s="3">
        <f>A107&amp;"|"&amp;B107&amp;"|"&amp;C107&amp;"|"&amp;D107&amp;"|"&amp;E107</f>
        <v/>
      </c>
      <c r="G107" s="3">
        <f>COUNTIF($F$2:$F$191,F107)</f>
        <v/>
      </c>
      <c r="H107" s="3" t="n">
        <v>-0.382</v>
      </c>
      <c r="I107" s="3">
        <f>_xlfn.MINIFS($H$2:$H$191,$F$2:$F$191,F107)</f>
        <v/>
      </c>
      <c r="J107" s="3">
        <f>_xlfn.MAXIFS($H$2:$H$191,$F$2:$F$191,F107)</f>
        <v/>
      </c>
      <c r="K107" s="3">
        <f>IF(G107=1,"",IF(I107=J107,"EXACT_DUP","MISMATCH"))</f>
        <v/>
      </c>
      <c r="L107" s="3" t="inlineStr">
        <is>
          <t>***</t>
        </is>
      </c>
      <c r="M107" s="3" t="n">
        <v>4671</v>
      </c>
      <c r="N107" s="3" t="n">
        <v>0.759</v>
      </c>
      <c r="O107" s="3" t="n">
        <v>0.58</v>
      </c>
      <c r="P107" s="3" t="n">
        <v>0.795</v>
      </c>
      <c r="Q107" s="3" t="n">
        <v>0.26</v>
      </c>
      <c r="R107" s="3" t="n">
        <v>0.351</v>
      </c>
      <c r="S107" s="3" t="n"/>
      <c r="T107" s="3" t="n"/>
      <c r="U107" s="3" t="inlineStr">
        <is>
          <t>1.0</t>
        </is>
      </c>
      <c r="V107" s="3" t="inlineStr">
        <is>
          <t>BSD 3-Clause License</t>
        </is>
      </c>
      <c r="W107" s="3" t="n">
        <v>658</v>
      </c>
      <c r="X107" s="3" t="n">
        <v>-0.609</v>
      </c>
      <c r="Y107" s="3" t="n">
        <v>3259</v>
      </c>
      <c r="Z107" s="3" t="n">
        <v>-0.45</v>
      </c>
      <c r="AA107" s="3" t="n">
        <v>290</v>
      </c>
      <c r="AB107" s="3" t="n">
        <v>-0.733</v>
      </c>
      <c r="AC107" s="3" t="n">
        <v>464</v>
      </c>
      <c r="AD107" s="3" t="n">
        <v>-0.699</v>
      </c>
    </row>
    <row r="108" hidden="1">
      <c r="A108" s="3" t="inlineStr">
        <is>
          <t>Aggrescan3D</t>
        </is>
      </c>
      <c r="B108" s="3" t="n"/>
      <c r="C108" s="3" t="inlineStr">
        <is>
          <t>average_score</t>
        </is>
      </c>
      <c r="D108" s="3" t="inlineStr">
        <is>
          <t>Aggrescan Average aggregation score</t>
        </is>
      </c>
      <c r="E108" s="3" t="inlineStr">
        <is>
          <t>Aggregation (Polydispersity idx)</t>
        </is>
      </c>
      <c r="F108" s="3">
        <f>A108&amp;"|"&amp;B108&amp;"|"&amp;C108&amp;"|"&amp;D108&amp;"|"&amp;E108</f>
        <v/>
      </c>
      <c r="G108" s="3">
        <f>COUNTIF($F$2:$F$191,F108)</f>
        <v/>
      </c>
      <c r="H108" s="3" t="n">
        <v>0.012</v>
      </c>
      <c r="I108" s="3">
        <f>_xlfn.MINIFS($H$2:$H$191,$F$2:$F$191,F108)</f>
        <v/>
      </c>
      <c r="J108" s="3">
        <f>_xlfn.MAXIFS($H$2:$H$191,$F$2:$F$191,F108)</f>
        <v/>
      </c>
      <c r="K108" s="3">
        <f>IF(G108=1,"",IF(I108=J108,"EXACT_DUP","MISMATCH"))</f>
        <v/>
      </c>
      <c r="L108" s="3" t="n"/>
      <c r="M108" s="3" t="n">
        <v>1435</v>
      </c>
      <c r="N108" s="3" t="n">
        <v>0.469</v>
      </c>
      <c r="O108" s="3" t="n">
        <v>0.743</v>
      </c>
      <c r="P108" s="3" t="n">
        <v>0.708</v>
      </c>
      <c r="Q108" s="3" t="n">
        <v>0.694</v>
      </c>
      <c r="R108" s="3" t="n">
        <v>0.861</v>
      </c>
      <c r="S108" s="3" t="n"/>
      <c r="T108" s="3" t="n"/>
      <c r="U108" s="3" t="inlineStr">
        <is>
          <t>1.0</t>
        </is>
      </c>
      <c r="V108" s="3" t="inlineStr">
        <is>
          <t>MIT License</t>
        </is>
      </c>
      <c r="W108" s="3" t="n">
        <v>329</v>
      </c>
      <c r="X108" s="3" t="n">
        <v>0.057</v>
      </c>
      <c r="Y108" s="3" t="n">
        <v>822</v>
      </c>
      <c r="Z108" s="3" t="n">
        <v>0.019</v>
      </c>
      <c r="AA108" s="3" t="n">
        <v>139</v>
      </c>
      <c r="AB108" s="3" t="n">
        <v>0.015</v>
      </c>
      <c r="AC108" s="3" t="n">
        <v>145</v>
      </c>
      <c r="AD108" s="3" t="n">
        <v>-0.021</v>
      </c>
    </row>
    <row r="109" hidden="1">
      <c r="A109" s="3" t="inlineStr">
        <is>
          <t>Aggrescan3D</t>
        </is>
      </c>
      <c r="B109" s="3" t="n"/>
      <c r="C109" s="3" t="inlineStr">
        <is>
          <t>maximum_score</t>
        </is>
      </c>
      <c r="D109" s="3" t="inlineStr">
        <is>
          <t>Aggrescan Maximum aggregation score in residues</t>
        </is>
      </c>
      <c r="E109" s="3" t="inlineStr">
        <is>
          <t>Aggregation (Polydispersity idx)</t>
        </is>
      </c>
      <c r="F109" s="3">
        <f>A109&amp;"|"&amp;B109&amp;"|"&amp;C109&amp;"|"&amp;D109&amp;"|"&amp;E109</f>
        <v/>
      </c>
      <c r="G109" s="3">
        <f>COUNTIF($F$2:$F$191,F109)</f>
        <v/>
      </c>
      <c r="H109" s="3" t="n">
        <v>-0.015</v>
      </c>
      <c r="I109" s="3">
        <f>_xlfn.MINIFS($H$2:$H$191,$F$2:$F$191,F109)</f>
        <v/>
      </c>
      <c r="J109" s="3">
        <f>_xlfn.MAXIFS($H$2:$H$191,$F$2:$F$191,F109)</f>
        <v/>
      </c>
      <c r="K109" s="3">
        <f>IF(G109=1,"",IF(I109=J109,"EXACT_DUP","MISMATCH"))</f>
        <v/>
      </c>
      <c r="L109" s="3" t="n"/>
      <c r="M109" s="3" t="n">
        <v>1435</v>
      </c>
      <c r="N109" s="3" t="n">
        <v>0.497</v>
      </c>
      <c r="O109" s="3" t="n">
        <v>0.752</v>
      </c>
      <c r="P109" s="3" t="n">
        <v>0.694</v>
      </c>
      <c r="Q109" s="3" t="n">
        <v>0.653</v>
      </c>
      <c r="R109" s="3" t="n">
        <v>0.847</v>
      </c>
      <c r="S109" s="3" t="n"/>
      <c r="T109" s="3" t="n"/>
      <c r="U109" s="3" t="n"/>
      <c r="V109" s="3" t="n"/>
      <c r="W109" s="3" t="n">
        <v>329</v>
      </c>
      <c r="X109" s="3" t="n">
        <v>0.074</v>
      </c>
      <c r="Y109" s="3" t="n">
        <v>822</v>
      </c>
      <c r="Z109" s="3" t="n">
        <v>-0.017</v>
      </c>
      <c r="AA109" s="3" t="n">
        <v>139</v>
      </c>
      <c r="AB109" s="3" t="n">
        <v>-0.053</v>
      </c>
      <c r="AC109" s="3" t="n">
        <v>145</v>
      </c>
      <c r="AD109" s="3" t="n">
        <v>-0.019</v>
      </c>
    </row>
    <row r="110" hidden="1">
      <c r="A110" s="3" t="inlineStr">
        <is>
          <t>Aggrescan3D</t>
        </is>
      </c>
      <c r="B110" s="3" t="n"/>
      <c r="C110" s="3" t="inlineStr">
        <is>
          <t>minimum_score</t>
        </is>
      </c>
      <c r="D110" s="3" t="inlineStr">
        <is>
          <t>Aggrescan Minimum aggregation score in residues</t>
        </is>
      </c>
      <c r="E110" s="3" t="inlineStr">
        <is>
          <t>Aggregation (Polydispersity idx)</t>
        </is>
      </c>
      <c r="F110" s="3">
        <f>A110&amp;"|"&amp;B110&amp;"|"&amp;C110&amp;"|"&amp;D110&amp;"|"&amp;E110</f>
        <v/>
      </c>
      <c r="G110" s="3">
        <f>COUNTIF($F$2:$F$191,F110)</f>
        <v/>
      </c>
      <c r="H110" s="3" t="n">
        <v>0.014</v>
      </c>
      <c r="I110" s="3">
        <f>_xlfn.MINIFS($H$2:$H$191,$F$2:$F$191,F110)</f>
        <v/>
      </c>
      <c r="J110" s="3">
        <f>_xlfn.MAXIFS($H$2:$H$191,$F$2:$F$191,F110)</f>
        <v/>
      </c>
      <c r="K110" s="3">
        <f>IF(G110=1,"",IF(I110=J110,"EXACT_DUP","MISMATCH"))</f>
        <v/>
      </c>
      <c r="L110" s="3" t="n"/>
      <c r="M110" s="3" t="n">
        <v>1435</v>
      </c>
      <c r="N110" s="3" t="n">
        <v>0.491</v>
      </c>
      <c r="O110" s="3" t="n">
        <v>0.752</v>
      </c>
      <c r="P110" s="3" t="n">
        <v>0.722</v>
      </c>
      <c r="Q110" s="3" t="n">
        <v>0.694</v>
      </c>
      <c r="R110" s="3" t="n">
        <v>0.848</v>
      </c>
      <c r="S110" s="3" t="n"/>
      <c r="T110" s="3" t="n"/>
      <c r="U110" s="3" t="inlineStr">
        <is>
          <t>1.0</t>
        </is>
      </c>
      <c r="V110" s="3" t="inlineStr">
        <is>
          <t>MIT License</t>
        </is>
      </c>
      <c r="W110" s="3" t="n">
        <v>329</v>
      </c>
      <c r="X110" s="3" t="n">
        <v>0.092</v>
      </c>
      <c r="Y110" s="3" t="n">
        <v>822</v>
      </c>
      <c r="Z110" s="3" t="n">
        <v>0.007</v>
      </c>
      <c r="AA110" s="3" t="n">
        <v>139</v>
      </c>
      <c r="AB110" s="3" t="n">
        <v>0.016</v>
      </c>
      <c r="AC110" s="3" t="n">
        <v>145</v>
      </c>
      <c r="AD110" s="3" t="n">
        <v>0.018</v>
      </c>
    </row>
    <row r="111" hidden="1">
      <c r="A111" s="3" t="inlineStr">
        <is>
          <t>ESM2 Property Predictor</t>
        </is>
      </c>
      <c r="B111" s="3" t="inlineStr">
        <is>
          <t>selected_plm=degradation_stability</t>
        </is>
      </c>
      <c r="C111" s="3" t="inlineStr">
        <is>
          <t>predicted_property</t>
        </is>
      </c>
      <c r="D111" s="3" t="inlineStr">
        <is>
          <t>ESM2 fine tuned for degradation_stability</t>
        </is>
      </c>
      <c r="E111" s="3" t="inlineStr">
        <is>
          <t>Aggregation (Polydispersity idx)</t>
        </is>
      </c>
      <c r="F111" s="3">
        <f>A111&amp;"|"&amp;B111&amp;"|"&amp;C111&amp;"|"&amp;D111&amp;"|"&amp;E111</f>
        <v/>
      </c>
      <c r="G111" s="3">
        <f>COUNTIF($F$2:$F$191,F111)</f>
        <v/>
      </c>
      <c r="H111" s="3" t="n">
        <v>-0.075</v>
      </c>
      <c r="I111" s="3">
        <f>_xlfn.MINIFS($H$2:$H$191,$F$2:$F$191,F111)</f>
        <v/>
      </c>
      <c r="J111" s="3">
        <f>_xlfn.MAXIFS($H$2:$H$191,$F$2:$F$191,F111)</f>
        <v/>
      </c>
      <c r="K111" s="3">
        <f>IF(G111=1,"",IF(I111=J111,"EXACT_DUP","MISMATCH"))</f>
        <v/>
      </c>
      <c r="L111" s="3" t="inlineStr">
        <is>
          <t>**</t>
        </is>
      </c>
      <c r="M111" s="3" t="n">
        <v>1435</v>
      </c>
      <c r="N111" s="3" t="n">
        <v>0.497</v>
      </c>
      <c r="O111" s="3" t="n">
        <v>0.771</v>
      </c>
      <c r="P111" s="3" t="n">
        <v>0.819</v>
      </c>
      <c r="Q111" s="3" t="n">
        <v>0.681</v>
      </c>
      <c r="R111" s="3" t="n">
        <v>0.833</v>
      </c>
      <c r="S111" s="3" t="n"/>
      <c r="T111" s="3" t="n"/>
      <c r="U111" s="3" t="inlineStr">
        <is>
          <t>1.0</t>
        </is>
      </c>
      <c r="V111" s="3" t="inlineStr">
        <is>
          <t>MIT License</t>
        </is>
      </c>
      <c r="W111" s="3" t="n">
        <v>329</v>
      </c>
      <c r="X111" s="3" t="n">
        <v>-0.344</v>
      </c>
      <c r="Y111" s="3" t="n">
        <v>822</v>
      </c>
      <c r="Z111" s="3" t="n">
        <v>-0.001</v>
      </c>
      <c r="AA111" s="3" t="n">
        <v>139</v>
      </c>
      <c r="AB111" s="3" t="n">
        <v>0.228</v>
      </c>
      <c r="AC111" s="3" t="n">
        <v>145</v>
      </c>
      <c r="AD111" s="3" t="n">
        <v>0.027</v>
      </c>
    </row>
    <row r="112" hidden="1">
      <c r="A112" s="3" t="inlineStr">
        <is>
          <t>ESM2 Property Predictor</t>
        </is>
      </c>
      <c r="B112" s="3" t="inlineStr">
        <is>
          <t>selected_plm=degradation_stability</t>
        </is>
      </c>
      <c r="C112" s="3" t="inlineStr">
        <is>
          <t>predicted_property</t>
        </is>
      </c>
      <c r="D112" s="3" t="inlineStr">
        <is>
          <t>ESM2 fine tuned for degradation_stability</t>
        </is>
      </c>
      <c r="E112" s="3" t="inlineStr">
        <is>
          <t>Thermostability (Tm1)</t>
        </is>
      </c>
      <c r="F112" s="3">
        <f>A112&amp;"|"&amp;B112&amp;"|"&amp;C112&amp;"|"&amp;D112&amp;"|"&amp;E112</f>
        <v/>
      </c>
      <c r="G112" s="3">
        <f>COUNTIF($F$2:$F$191,F112)</f>
        <v/>
      </c>
      <c r="H112" s="3" t="n">
        <v>0.178</v>
      </c>
      <c r="I112" s="3">
        <f>_xlfn.MINIFS($H$2:$H$191,$F$2:$F$191,F112)</f>
        <v/>
      </c>
      <c r="J112" s="3">
        <f>_xlfn.MAXIFS($H$2:$H$191,$F$2:$F$191,F112)</f>
        <v/>
      </c>
      <c r="K112" s="3">
        <f>IF(G112=1,"",IF(I112=J112,"EXACT_DUP","MISMATCH"))</f>
        <v/>
      </c>
      <c r="L112" s="3" t="inlineStr">
        <is>
          <t>***</t>
        </is>
      </c>
      <c r="M112" s="3" t="n">
        <v>1568</v>
      </c>
      <c r="N112" s="3" t="n">
        <v>0.591</v>
      </c>
      <c r="O112" s="3" t="n">
        <v>0.63</v>
      </c>
      <c r="P112" s="3" t="n">
        <v>0.595</v>
      </c>
      <c r="Q112" s="3" t="n">
        <v>0.494</v>
      </c>
      <c r="R112" s="3" t="n">
        <v>0.671</v>
      </c>
      <c r="S112" s="3" t="n"/>
      <c r="T112" s="3" t="n"/>
      <c r="U112" s="3" t="inlineStr">
        <is>
          <t>1.0</t>
        </is>
      </c>
      <c r="V112" s="3" t="inlineStr">
        <is>
          <t>MIT License</t>
        </is>
      </c>
      <c r="W112" s="3" t="n">
        <v>319</v>
      </c>
      <c r="X112" s="3" t="n">
        <v>0.326</v>
      </c>
      <c r="Y112" s="3" t="n">
        <v>943</v>
      </c>
      <c r="Z112" s="3" t="n">
        <v>0.081</v>
      </c>
      <c r="AA112" s="3" t="n">
        <v>149</v>
      </c>
      <c r="AB112" s="3" t="n">
        <v>-0.014</v>
      </c>
      <c r="AC112" s="3" t="n">
        <v>157</v>
      </c>
      <c r="AD112" s="3" t="n">
        <v>0.107</v>
      </c>
    </row>
    <row r="113" hidden="1">
      <c r="A113" s="3" t="inlineStr">
        <is>
          <t>ESM2 Property Predictor</t>
        </is>
      </c>
      <c r="B113" s="3" t="inlineStr">
        <is>
          <t>selected_plm=degradation_stability</t>
        </is>
      </c>
      <c r="C113" s="3" t="inlineStr">
        <is>
          <t>predicted_property</t>
        </is>
      </c>
      <c r="D113" s="3" t="inlineStr">
        <is>
          <t>ESM2 fine tuned for degradation_stability</t>
        </is>
      </c>
      <c r="E113" s="3" t="inlineStr">
        <is>
          <t>Thermostability (Tm2)</t>
        </is>
      </c>
      <c r="F113" s="3">
        <f>A113&amp;"|"&amp;B113&amp;"|"&amp;C113&amp;"|"&amp;D113&amp;"|"&amp;E113</f>
        <v/>
      </c>
      <c r="G113" s="3">
        <f>COUNTIF($F$2:$F$191,F113)</f>
        <v/>
      </c>
      <c r="H113" s="3" t="n">
        <v>0.139</v>
      </c>
      <c r="I113" s="3">
        <f>_xlfn.MINIFS($H$2:$H$191,$F$2:$F$191,F113)</f>
        <v/>
      </c>
      <c r="J113" s="3">
        <f>_xlfn.MAXIFS($H$2:$H$191,$F$2:$F$191,F113)</f>
        <v/>
      </c>
      <c r="K113" s="3">
        <f>IF(G113=1,"",IF(I113=J113,"EXACT_DUP","MISMATCH"))</f>
        <v/>
      </c>
      <c r="L113" s="3" t="inlineStr">
        <is>
          <t>***</t>
        </is>
      </c>
      <c r="M113" s="3" t="n">
        <v>1196</v>
      </c>
      <c r="N113" s="3" t="n">
        <v>0.5590000000000001</v>
      </c>
      <c r="O113" s="3" t="n">
        <v>0.655</v>
      </c>
      <c r="P113" s="3" t="n">
        <v>0.517</v>
      </c>
      <c r="Q113" s="3" t="n">
        <v>0.517</v>
      </c>
      <c r="R113" s="3" t="n">
        <v>0.733</v>
      </c>
      <c r="S113" s="3" t="n"/>
      <c r="T113" s="3" t="n"/>
      <c r="U113" s="3" t="inlineStr">
        <is>
          <t>1.0</t>
        </is>
      </c>
      <c r="V113" s="3" t="inlineStr">
        <is>
          <t>MIT License</t>
        </is>
      </c>
      <c r="W113" s="3" t="n">
        <v>287</v>
      </c>
      <c r="X113" s="3" t="n">
        <v>0.255</v>
      </c>
      <c r="Y113" s="3" t="n">
        <v>636</v>
      </c>
      <c r="Z113" s="3" t="n">
        <v>0.083</v>
      </c>
      <c r="AA113" s="3" t="n">
        <v>146</v>
      </c>
      <c r="AB113" s="3" t="n">
        <v>0.017</v>
      </c>
      <c r="AC113" s="3" t="n">
        <v>127</v>
      </c>
      <c r="AD113" s="3" t="n">
        <v>-0.005</v>
      </c>
    </row>
    <row r="114" hidden="1">
      <c r="A114" s="3" t="inlineStr">
        <is>
          <t>ESM2 Property Predictor</t>
        </is>
      </c>
      <c r="B114" s="3" t="inlineStr">
        <is>
          <t>selected_plm=degradation_stability</t>
        </is>
      </c>
      <c r="C114" s="3" t="inlineStr">
        <is>
          <t>predicted_property</t>
        </is>
      </c>
      <c r="D114" s="3" t="inlineStr">
        <is>
          <t>ESM2 fine tuned for degradation_stability</t>
        </is>
      </c>
      <c r="E114" s="3" t="inlineStr">
        <is>
          <t>Thermostability (Tm3)</t>
        </is>
      </c>
      <c r="F114" s="3">
        <f>A114&amp;"|"&amp;B114&amp;"|"&amp;C114&amp;"|"&amp;D114&amp;"|"&amp;E114</f>
        <v/>
      </c>
      <c r="G114" s="3">
        <f>COUNTIF($F$2:$F$191,F114)</f>
        <v/>
      </c>
      <c r="H114" s="3" t="n">
        <v>0.248</v>
      </c>
      <c r="I114" s="3">
        <f>_xlfn.MINIFS($H$2:$H$191,$F$2:$F$191,F114)</f>
        <v/>
      </c>
      <c r="J114" s="3">
        <f>_xlfn.MAXIFS($H$2:$H$191,$F$2:$F$191,F114)</f>
        <v/>
      </c>
      <c r="K114" s="3">
        <f>IF(G114=1,"",IF(I114=J114,"EXACT_DUP","MISMATCH"))</f>
        <v/>
      </c>
      <c r="L114" s="3" t="inlineStr">
        <is>
          <t>***</t>
        </is>
      </c>
      <c r="M114" s="3" t="n">
        <v>189</v>
      </c>
      <c r="N114" s="3" t="n">
        <v>0.638</v>
      </c>
      <c r="O114" s="3" t="n">
        <v>0.514</v>
      </c>
      <c r="P114" s="3" t="n">
        <v>0.3</v>
      </c>
      <c r="Q114" s="3" t="n">
        <v>0.2</v>
      </c>
      <c r="R114" s="3" t="n">
        <v>0.7</v>
      </c>
      <c r="S114" s="3" t="n"/>
      <c r="T114" s="3" t="n"/>
      <c r="U114" s="3" t="inlineStr">
        <is>
          <t>1.0</t>
        </is>
      </c>
      <c r="V114" s="3" t="inlineStr">
        <is>
          <t>MIT License</t>
        </is>
      </c>
      <c r="W114" s="3" t="n">
        <v>84</v>
      </c>
      <c r="X114" s="3" t="n">
        <v>0.394</v>
      </c>
      <c r="Y114" s="3" t="n">
        <v>42</v>
      </c>
      <c r="Z114" s="3" t="n">
        <v>0.316</v>
      </c>
      <c r="AA114" s="3" t="n">
        <v>60</v>
      </c>
      <c r="AB114" s="3" t="n">
        <v>0.159</v>
      </c>
      <c r="AC114" s="3" t="n">
        <v>3</v>
      </c>
      <c r="AD114" s="3" t="n">
        <v>1</v>
      </c>
    </row>
    <row r="115" hidden="1">
      <c r="A115" s="3" t="inlineStr">
        <is>
          <t>ESM2 Property Predictor</t>
        </is>
      </c>
      <c r="B115" s="3" t="inlineStr">
        <is>
          <t>selected_plm=degradation_stability</t>
        </is>
      </c>
      <c r="C115" s="3" t="inlineStr">
        <is>
          <t>predicted_property</t>
        </is>
      </c>
      <c r="D115" s="3" t="inlineStr">
        <is>
          <t>ESM2 fine tuned for degradation_stability</t>
        </is>
      </c>
      <c r="E115" s="3" t="inlineStr">
        <is>
          <t>Thermostability (onset)</t>
        </is>
      </c>
      <c r="F115" s="3">
        <f>A115&amp;"|"&amp;B115&amp;"|"&amp;C115&amp;"|"&amp;D115&amp;"|"&amp;E115</f>
        <v/>
      </c>
      <c r="G115" s="3">
        <f>COUNTIF($F$2:$F$191,F115)</f>
        <v/>
      </c>
      <c r="H115" s="3" t="n">
        <v>0.18</v>
      </c>
      <c r="I115" s="3">
        <f>_xlfn.MINIFS($H$2:$H$191,$F$2:$F$191,F115)</f>
        <v/>
      </c>
      <c r="J115" s="3">
        <f>_xlfn.MAXIFS($H$2:$H$191,$F$2:$F$191,F115)</f>
        <v/>
      </c>
      <c r="K115" s="3">
        <f>IF(G115=1,"",IF(I115=J115,"EXACT_DUP","MISMATCH"))</f>
        <v/>
      </c>
      <c r="L115" s="3" t="inlineStr">
        <is>
          <t>***</t>
        </is>
      </c>
      <c r="M115" s="3" t="n">
        <v>1565</v>
      </c>
      <c r="N115" s="3" t="n">
        <v>0.595</v>
      </c>
      <c r="O115" s="3" t="n">
        <v>0.661</v>
      </c>
      <c r="P115" s="3" t="n">
        <v>0.582</v>
      </c>
      <c r="Q115" s="3" t="n">
        <v>0.532</v>
      </c>
      <c r="R115" s="3" t="n">
        <v>0.697</v>
      </c>
      <c r="S115" s="3" t="n"/>
      <c r="T115" s="3" t="n"/>
      <c r="U115" s="3" t="inlineStr">
        <is>
          <t>1.0</t>
        </is>
      </c>
      <c r="V115" s="3" t="inlineStr">
        <is>
          <t>MIT License</t>
        </is>
      </c>
      <c r="W115" s="3" t="n">
        <v>319</v>
      </c>
      <c r="X115" s="3" t="n">
        <v>0.319</v>
      </c>
      <c r="Y115" s="3" t="n">
        <v>940</v>
      </c>
      <c r="Z115" s="3" t="n">
        <v>0.101</v>
      </c>
      <c r="AA115" s="3" t="n">
        <v>149</v>
      </c>
      <c r="AB115" s="3" t="n">
        <v>-0.1</v>
      </c>
      <c r="AC115" s="3" t="n">
        <v>157</v>
      </c>
      <c r="AD115" s="3" t="n">
        <v>0.063</v>
      </c>
    </row>
    <row r="116" hidden="1">
      <c r="A116" s="3" t="inlineStr">
        <is>
          <t>ESM2 Property Predictor</t>
        </is>
      </c>
      <c r="B116" s="3" t="inlineStr">
        <is>
          <t>selected_plm=hydrophobicity</t>
        </is>
      </c>
      <c r="C116" s="3" t="inlineStr">
        <is>
          <t>predicted_property</t>
        </is>
      </c>
      <c r="D116" s="3" t="inlineStr">
        <is>
          <t>ESM2 fine tuned for hydrophobicity</t>
        </is>
      </c>
      <c r="E116" s="3" t="inlineStr">
        <is>
          <t>Hydrophobicity</t>
        </is>
      </c>
      <c r="F116" s="3">
        <f>A116&amp;"|"&amp;B116&amp;"|"&amp;C116&amp;"|"&amp;D116&amp;"|"&amp;E116</f>
        <v/>
      </c>
      <c r="G116" s="3">
        <f>COUNTIF($F$2:$F$191,F116)</f>
        <v/>
      </c>
      <c r="H116" s="3" t="n">
        <v>0.408</v>
      </c>
      <c r="I116" s="3">
        <f>_xlfn.MINIFS($H$2:$H$191,$F$2:$F$191,F116)</f>
        <v/>
      </c>
      <c r="J116" s="3">
        <f>_xlfn.MAXIFS($H$2:$H$191,$F$2:$F$191,F116)</f>
        <v/>
      </c>
      <c r="K116" s="3">
        <f>IF(G116=1,"",IF(I116=J116,"EXACT_DUP","MISMATCH"))</f>
        <v/>
      </c>
      <c r="L116" s="3" t="inlineStr">
        <is>
          <t>***</t>
        </is>
      </c>
      <c r="M116" s="3" t="n">
        <v>1442</v>
      </c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1.0</t>
        </is>
      </c>
      <c r="V116" s="3" t="inlineStr">
        <is>
          <t>MIT License</t>
        </is>
      </c>
      <c r="W116" s="3" t="n">
        <v>330</v>
      </c>
      <c r="X116" s="3" t="n">
        <v>0.144</v>
      </c>
      <c r="Y116" s="3" t="n">
        <v>825</v>
      </c>
      <c r="Z116" s="3" t="n">
        <v>0.435</v>
      </c>
      <c r="AA116" s="3" t="n">
        <v>141</v>
      </c>
      <c r="AB116" s="3" t="n">
        <v>-0.178</v>
      </c>
      <c r="AC116" s="3" t="n">
        <v>146</v>
      </c>
      <c r="AD116" s="3" t="n">
        <v>0.419</v>
      </c>
    </row>
    <row r="117" hidden="1">
      <c r="A117" s="3" t="inlineStr">
        <is>
          <t>ESM2 Property Predictor</t>
        </is>
      </c>
      <c r="B117" s="3" t="inlineStr">
        <is>
          <t>selected_plm=thermal_stability</t>
        </is>
      </c>
      <c r="C117" s="3" t="inlineStr">
        <is>
          <t>predicted_property</t>
        </is>
      </c>
      <c r="D117" s="3" t="inlineStr">
        <is>
          <t>ESM2 fine tuned for thermal_stability</t>
        </is>
      </c>
      <c r="E117" s="3" t="inlineStr">
        <is>
          <t>Thermostability (Tm1)</t>
        </is>
      </c>
      <c r="F117" s="3">
        <f>A117&amp;"|"&amp;B117&amp;"|"&amp;C117&amp;"|"&amp;D117&amp;"|"&amp;E117</f>
        <v/>
      </c>
      <c r="G117" s="3">
        <f>COUNTIF($F$2:$F$191,F117)</f>
        <v/>
      </c>
      <c r="H117" s="3" t="n">
        <v>0.094</v>
      </c>
      <c r="I117" s="3">
        <f>_xlfn.MINIFS($H$2:$H$191,$F$2:$F$191,F117)</f>
        <v/>
      </c>
      <c r="J117" s="3">
        <f>_xlfn.MAXIFS($H$2:$H$191,$F$2:$F$191,F117)</f>
        <v/>
      </c>
      <c r="K117" s="3">
        <f>IF(G117=1,"",IF(I117=J117,"EXACT_DUP","MISMATCH"))</f>
        <v/>
      </c>
      <c r="L117" s="3" t="inlineStr">
        <is>
          <t>***</t>
        </is>
      </c>
      <c r="M117" s="3" t="n">
        <v>1568</v>
      </c>
      <c r="N117" s="3" t="n">
        <v>0.543</v>
      </c>
      <c r="O117" s="3" t="n">
        <v>0.578</v>
      </c>
      <c r="P117" s="3" t="n">
        <v>0.468</v>
      </c>
      <c r="Q117" s="3" t="n">
        <v>0.493</v>
      </c>
      <c r="R117" s="3" t="n">
        <v>0.646</v>
      </c>
      <c r="S117" s="3" t="n"/>
      <c r="T117" s="3" t="n"/>
      <c r="U117" s="3" t="inlineStr">
        <is>
          <t>1.0</t>
        </is>
      </c>
      <c r="V117" s="3" t="inlineStr">
        <is>
          <t>MIT License</t>
        </is>
      </c>
      <c r="W117" s="3" t="n">
        <v>319</v>
      </c>
      <c r="X117" s="3" t="n">
        <v>-0.091</v>
      </c>
      <c r="Y117" s="3" t="n">
        <v>943</v>
      </c>
      <c r="Z117" s="3" t="n">
        <v>0.094</v>
      </c>
      <c r="AA117" s="3" t="n">
        <v>149</v>
      </c>
      <c r="AB117" s="3" t="n">
        <v>0.039</v>
      </c>
      <c r="AC117" s="3" t="n">
        <v>157</v>
      </c>
      <c r="AD117" s="3" t="n">
        <v>0.025</v>
      </c>
    </row>
    <row r="118" hidden="1">
      <c r="A118" s="3" t="inlineStr">
        <is>
          <t>ESM2 Property Predictor</t>
        </is>
      </c>
      <c r="B118" s="3" t="inlineStr">
        <is>
          <t>selected_plm=thermal_stability</t>
        </is>
      </c>
      <c r="C118" s="3" t="inlineStr">
        <is>
          <t>predicted_property</t>
        </is>
      </c>
      <c r="D118" s="3" t="inlineStr">
        <is>
          <t>ESM2 fine tuned for thermal_stability</t>
        </is>
      </c>
      <c r="E118" s="3" t="inlineStr">
        <is>
          <t>Thermostability (Tm2)</t>
        </is>
      </c>
      <c r="F118" s="3">
        <f>A118&amp;"|"&amp;B118&amp;"|"&amp;C118&amp;"|"&amp;D118&amp;"|"&amp;E118</f>
        <v/>
      </c>
      <c r="G118" s="3">
        <f>COUNTIF($F$2:$F$191,F118)</f>
        <v/>
      </c>
      <c r="H118" s="3" t="n">
        <v>0.026</v>
      </c>
      <c r="I118" s="3">
        <f>_xlfn.MINIFS($H$2:$H$191,$F$2:$F$191,F118)</f>
        <v/>
      </c>
      <c r="J118" s="3">
        <f>_xlfn.MAXIFS($H$2:$H$191,$F$2:$F$191,F118)</f>
        <v/>
      </c>
      <c r="K118" s="3">
        <f>IF(G118=1,"",IF(I118=J118,"EXACT_DUP","MISMATCH"))</f>
        <v/>
      </c>
      <c r="L118" s="3" t="n"/>
      <c r="M118" s="3" t="n">
        <v>1196</v>
      </c>
      <c r="N118" s="3" t="n">
        <v>0.5600000000000001</v>
      </c>
      <c r="O118" s="3" t="n">
        <v>0.657</v>
      </c>
      <c r="P118" s="3" t="n">
        <v>0.6</v>
      </c>
      <c r="Q118" s="3" t="n">
        <v>0.533</v>
      </c>
      <c r="R118" s="3" t="n">
        <v>0.734</v>
      </c>
      <c r="S118" s="3" t="n"/>
      <c r="T118" s="3" t="n"/>
      <c r="U118" s="3" t="inlineStr">
        <is>
          <t>1.0</t>
        </is>
      </c>
      <c r="V118" s="3" t="inlineStr">
        <is>
          <t>MIT License</t>
        </is>
      </c>
      <c r="W118" s="3" t="n">
        <v>287</v>
      </c>
      <c r="X118" s="3" t="n">
        <v>-0.148</v>
      </c>
      <c r="Y118" s="3" t="n">
        <v>636</v>
      </c>
      <c r="Z118" s="3" t="n">
        <v>0.063</v>
      </c>
      <c r="AA118" s="3" t="n">
        <v>146</v>
      </c>
      <c r="AB118" s="3" t="n">
        <v>0.08799999999999999</v>
      </c>
      <c r="AC118" s="3" t="n">
        <v>127</v>
      </c>
      <c r="AD118" s="3" t="n">
        <v>-0.053</v>
      </c>
    </row>
    <row r="119" hidden="1">
      <c r="A119" s="3" t="inlineStr">
        <is>
          <t>ESM2 Property Predictor</t>
        </is>
      </c>
      <c r="B119" s="3" t="inlineStr">
        <is>
          <t>selected_plm=thermal_stability</t>
        </is>
      </c>
      <c r="C119" s="3" t="inlineStr">
        <is>
          <t>predicted_property</t>
        </is>
      </c>
      <c r="D119" s="3" t="inlineStr">
        <is>
          <t>ESM2 fine tuned for thermal_stability</t>
        </is>
      </c>
      <c r="E119" s="3" t="inlineStr">
        <is>
          <t>Thermostability (Tm3)</t>
        </is>
      </c>
      <c r="F119" s="3">
        <f>A119&amp;"|"&amp;B119&amp;"|"&amp;C119&amp;"|"&amp;D119&amp;"|"&amp;E119</f>
        <v/>
      </c>
      <c r="G119" s="3">
        <f>COUNTIF($F$2:$F$191,F119)</f>
        <v/>
      </c>
      <c r="H119" s="3" t="n">
        <v>-0.02</v>
      </c>
      <c r="I119" s="3">
        <f>_xlfn.MINIFS($H$2:$H$191,$F$2:$F$191,F119)</f>
        <v/>
      </c>
      <c r="J119" s="3">
        <f>_xlfn.MAXIFS($H$2:$H$191,$F$2:$F$191,F119)</f>
        <v/>
      </c>
      <c r="K119" s="3">
        <f>IF(G119=1,"",IF(I119=J119,"EXACT_DUP","MISMATCH"))</f>
        <v/>
      </c>
      <c r="L119" s="3" t="n"/>
      <c r="M119" s="3" t="n">
        <v>189</v>
      </c>
      <c r="N119" s="3" t="n">
        <v>0.496</v>
      </c>
      <c r="O119" s="3" t="n">
        <v>0.388</v>
      </c>
      <c r="P119" s="3" t="n">
        <v>0.1</v>
      </c>
      <c r="Q119" s="3" t="n">
        <v>0.195</v>
      </c>
      <c r="R119" s="3" t="n">
        <v>0.7</v>
      </c>
      <c r="S119" s="3" t="n"/>
      <c r="T119" s="3" t="n"/>
      <c r="U119" s="3" t="inlineStr">
        <is>
          <t>1.0</t>
        </is>
      </c>
      <c r="V119" s="3" t="inlineStr">
        <is>
          <t>MIT License</t>
        </is>
      </c>
      <c r="W119" s="3" t="n">
        <v>84</v>
      </c>
      <c r="X119" s="3" t="n">
        <v>-0.164</v>
      </c>
      <c r="Y119" s="3" t="n">
        <v>42</v>
      </c>
      <c r="Z119" s="3" t="n">
        <v>0.205</v>
      </c>
      <c r="AA119" s="3" t="n">
        <v>60</v>
      </c>
      <c r="AB119" s="3" t="n">
        <v>0.265</v>
      </c>
      <c r="AC119" s="3" t="n">
        <v>3</v>
      </c>
      <c r="AD119" s="3" t="n">
        <v>1</v>
      </c>
    </row>
    <row r="120" hidden="1">
      <c r="A120" s="3" t="inlineStr">
        <is>
          <t>ESM2 Property Predictor</t>
        </is>
      </c>
      <c r="B120" s="3" t="inlineStr">
        <is>
          <t>selected_plm=thermal_stability</t>
        </is>
      </c>
      <c r="C120" s="3" t="inlineStr">
        <is>
          <t>predicted_property</t>
        </is>
      </c>
      <c r="D120" s="3" t="inlineStr">
        <is>
          <t>ESM2 fine tuned for thermal_stability</t>
        </is>
      </c>
      <c r="E120" s="3" t="inlineStr">
        <is>
          <t>Thermostability (onset)</t>
        </is>
      </c>
      <c r="F120" s="3">
        <f>A120&amp;"|"&amp;B120&amp;"|"&amp;C120&amp;"|"&amp;D120&amp;"|"&amp;E120</f>
        <v/>
      </c>
      <c r="G120" s="3">
        <f>COUNTIF($F$2:$F$191,F120)</f>
        <v/>
      </c>
      <c r="H120" s="3" t="n">
        <v>0.077</v>
      </c>
      <c r="I120" s="3">
        <f>_xlfn.MINIFS($H$2:$H$191,$F$2:$F$191,F120)</f>
        <v/>
      </c>
      <c r="J120" s="3">
        <f>_xlfn.MAXIFS($H$2:$H$191,$F$2:$F$191,F120)</f>
        <v/>
      </c>
      <c r="K120" s="3">
        <f>IF(G120=1,"",IF(I120=J120,"EXACT_DUP","MISMATCH"))</f>
        <v/>
      </c>
      <c r="L120" s="3" t="inlineStr">
        <is>
          <t>**</t>
        </is>
      </c>
      <c r="M120" s="3" t="n">
        <v>1565</v>
      </c>
      <c r="N120" s="3" t="n">
        <v>0.537</v>
      </c>
      <c r="O120" s="3" t="n">
        <v>0.607</v>
      </c>
      <c r="P120" s="3" t="n">
        <v>0.494</v>
      </c>
      <c r="Q120" s="3" t="n">
        <v>0.53</v>
      </c>
      <c r="R120" s="3" t="n">
        <v>0.696</v>
      </c>
      <c r="S120" s="3" t="n"/>
      <c r="T120" s="3" t="n"/>
      <c r="U120" s="3" t="inlineStr">
        <is>
          <t>1.0</t>
        </is>
      </c>
      <c r="V120" s="3" t="inlineStr">
        <is>
          <t>MIT License</t>
        </is>
      </c>
      <c r="W120" s="3" t="n">
        <v>319</v>
      </c>
      <c r="X120" s="3" t="n">
        <v>-0.129</v>
      </c>
      <c r="Y120" s="3" t="n">
        <v>940</v>
      </c>
      <c r="Z120" s="3" t="n">
        <v>0.078</v>
      </c>
      <c r="AA120" s="3" t="n">
        <v>149</v>
      </c>
      <c r="AB120" s="3" t="n">
        <v>-0.034</v>
      </c>
      <c r="AC120" s="3" t="n">
        <v>157</v>
      </c>
      <c r="AD120" s="3" t="n">
        <v>-0.016</v>
      </c>
    </row>
    <row r="121" hidden="1">
      <c r="A121" s="3" t="inlineStr">
        <is>
          <t>FastDPE</t>
        </is>
      </c>
      <c r="B121" s="3" t="n"/>
      <c r="C121" s="3" t="inlineStr">
        <is>
          <t>cdrNegCh</t>
        </is>
      </c>
      <c r="D121" s="3" t="inlineStr">
        <is>
          <t>FastDPE Patches of Negative Charge (CDR-vicinity)</t>
        </is>
      </c>
      <c r="E121" s="3" t="inlineStr">
        <is>
          <t>Aggregation (Polydispersity idx)</t>
        </is>
      </c>
      <c r="F121" s="3">
        <f>A121&amp;"|"&amp;B121&amp;"|"&amp;C121&amp;"|"&amp;D121&amp;"|"&amp;E121</f>
        <v/>
      </c>
      <c r="G121" s="3">
        <f>COUNTIF($F$2:$F$191,F121)</f>
        <v/>
      </c>
      <c r="H121" s="3" t="n">
        <v>-0.068</v>
      </c>
      <c r="I121" s="3">
        <f>_xlfn.MINIFS($H$2:$H$191,$F$2:$F$191,F121)</f>
        <v/>
      </c>
      <c r="J121" s="3">
        <f>_xlfn.MAXIFS($H$2:$H$191,$F$2:$F$191,F121)</f>
        <v/>
      </c>
      <c r="K121" s="3">
        <f>IF(G121=1,"",IF(I121=J121,"EXACT_DUP","MISMATCH"))</f>
        <v/>
      </c>
      <c r="L121" s="3" t="inlineStr">
        <is>
          <t>**</t>
        </is>
      </c>
      <c r="M121" s="3" t="n">
        <v>1435</v>
      </c>
      <c r="N121" s="3" t="n">
        <v>0.469</v>
      </c>
      <c r="O121" s="3" t="n">
        <v>0.743</v>
      </c>
      <c r="P121" s="3" t="n">
        <v>0.764</v>
      </c>
      <c r="Q121" s="3" t="n">
        <v>0.639</v>
      </c>
      <c r="R121" s="3" t="n">
        <v>0.819</v>
      </c>
      <c r="S121" s="3" t="n"/>
      <c r="T121" s="3" t="n"/>
      <c r="U121" s="3" t="inlineStr">
        <is>
          <t>1.0</t>
        </is>
      </c>
      <c r="V121" s="3" t="inlineStr">
        <is>
          <t>BSD 3-Clause License</t>
        </is>
      </c>
      <c r="W121" s="3" t="n">
        <v>329</v>
      </c>
      <c r="X121" s="3" t="n">
        <v>-0.186</v>
      </c>
      <c r="Y121" s="3" t="n">
        <v>822</v>
      </c>
      <c r="Z121" s="3" t="n">
        <v>-0.044</v>
      </c>
      <c r="AA121" s="3" t="n">
        <v>139</v>
      </c>
      <c r="AB121" s="3" t="n">
        <v>0.112</v>
      </c>
      <c r="AC121" s="3" t="n">
        <v>145</v>
      </c>
      <c r="AD121" s="3" t="n">
        <v>-0.08699999999999999</v>
      </c>
    </row>
    <row r="122" hidden="1">
      <c r="A122" s="3" t="inlineStr">
        <is>
          <t>FastDPE</t>
        </is>
      </c>
      <c r="B122" s="3" t="n"/>
      <c r="C122" s="3" t="inlineStr">
        <is>
          <t>cdrNegCh</t>
        </is>
      </c>
      <c r="D122" s="3" t="inlineStr">
        <is>
          <t>FastDPE Patches of Negative Charge (CDR-vicinity)</t>
        </is>
      </c>
      <c r="E122" s="3" t="inlineStr">
        <is>
          <t>Analytical Size Exclusion Chromatography</t>
        </is>
      </c>
      <c r="F122" s="3">
        <f>A122&amp;"|"&amp;B122&amp;"|"&amp;C122&amp;"|"&amp;D122&amp;"|"&amp;E122</f>
        <v/>
      </c>
      <c r="G122" s="3">
        <f>COUNTIF($F$2:$F$191,F122)</f>
        <v/>
      </c>
      <c r="H122" s="3" t="n">
        <v>-0.013</v>
      </c>
      <c r="I122" s="3">
        <f>_xlfn.MINIFS($H$2:$H$191,$F$2:$F$191,F122)</f>
        <v/>
      </c>
      <c r="J122" s="3">
        <f>_xlfn.MAXIFS($H$2:$H$191,$F$2:$F$191,F122)</f>
        <v/>
      </c>
      <c r="K122" s="3">
        <f>IF(G122=1,"",IF(I122=J122,"EXACT_DUP","MISMATCH"))</f>
        <v/>
      </c>
      <c r="L122" s="3" t="n"/>
      <c r="M122" s="3" t="n">
        <v>1611</v>
      </c>
      <c r="N122" s="3" t="n">
        <v>0.476</v>
      </c>
      <c r="O122" s="3" t="n">
        <v>0.573</v>
      </c>
      <c r="P122" s="3" t="n">
        <v>0.37</v>
      </c>
      <c r="Q122" s="3" t="n">
        <v>0.494</v>
      </c>
      <c r="R122" s="3" t="n">
        <v>0.679</v>
      </c>
      <c r="S122" s="3" t="n"/>
      <c r="T122" s="3" t="n"/>
      <c r="U122" s="3" t="inlineStr">
        <is>
          <t>1.0</t>
        </is>
      </c>
      <c r="V122" s="3" t="inlineStr">
        <is>
          <t>BSD 3-Clause License</t>
        </is>
      </c>
      <c r="W122" s="3" t="n">
        <v>353</v>
      </c>
      <c r="X122" s="3" t="n">
        <v>0.189</v>
      </c>
      <c r="Y122" s="3" t="n">
        <v>938</v>
      </c>
      <c r="Z122" s="3" t="n">
        <v>-0.066</v>
      </c>
      <c r="AA122" s="3" t="n">
        <v>156</v>
      </c>
      <c r="AB122" s="3" t="n">
        <v>-0.05</v>
      </c>
      <c r="AC122" s="3" t="n">
        <v>164</v>
      </c>
      <c r="AD122" s="3" t="n">
        <v>0.221</v>
      </c>
    </row>
    <row r="123" hidden="1">
      <c r="A123" s="3" t="inlineStr">
        <is>
          <t>FastDPE</t>
        </is>
      </c>
      <c r="B123" s="3" t="n"/>
      <c r="C123" s="3" t="inlineStr">
        <is>
          <t>cdrNegCh</t>
        </is>
      </c>
      <c r="D123" s="3" t="inlineStr">
        <is>
          <t>FastDPE Patches of Negative Charge (CDR-vicinity)</t>
        </is>
      </c>
      <c r="E123" s="3" t="inlineStr">
        <is>
          <t>Polyreactivity (absorbance)</t>
        </is>
      </c>
      <c r="F123" s="3">
        <f>A123&amp;"|"&amp;B123&amp;"|"&amp;C123&amp;"|"&amp;D123&amp;"|"&amp;E123</f>
        <v/>
      </c>
      <c r="G123" s="3">
        <f>COUNTIF($F$2:$F$191,F123)</f>
        <v/>
      </c>
      <c r="H123" s="3" t="n">
        <v>-0.06</v>
      </c>
      <c r="I123" s="3">
        <f>_xlfn.MINIFS($H$2:$H$191,$F$2:$F$191,F123)</f>
        <v/>
      </c>
      <c r="J123" s="3">
        <f>_xlfn.MAXIFS($H$2:$H$191,$F$2:$F$191,F123)</f>
        <v/>
      </c>
      <c r="K123" s="3">
        <f>IF(G123=1,"",IF(I123=J123,"EXACT_DUP","MISMATCH"))</f>
        <v/>
      </c>
      <c r="L123" s="3" t="inlineStr">
        <is>
          <t>*</t>
        </is>
      </c>
      <c r="M123" s="3" t="n">
        <v>1442</v>
      </c>
      <c r="N123" s="3" t="n">
        <v>0.481</v>
      </c>
      <c r="O123" s="3" t="n">
        <v>0.678</v>
      </c>
      <c r="P123" s="3" t="n">
        <v>0.836</v>
      </c>
      <c r="Q123" s="3" t="n">
        <v>0.602</v>
      </c>
      <c r="R123" s="3" t="n">
        <v>0.836</v>
      </c>
      <c r="S123" s="3" t="n"/>
      <c r="T123" s="3" t="n"/>
      <c r="U123" s="3" t="inlineStr">
        <is>
          <t>1.0</t>
        </is>
      </c>
      <c r="V123" s="3" t="inlineStr">
        <is>
          <t>BSD 3-Clause License</t>
        </is>
      </c>
      <c r="W123" s="3" t="n">
        <v>330</v>
      </c>
      <c r="X123" s="3" t="n">
        <v>0.089</v>
      </c>
      <c r="Y123" s="3" t="n">
        <v>825</v>
      </c>
      <c r="Z123" s="3" t="n">
        <v>-0.143</v>
      </c>
      <c r="AA123" s="3" t="n">
        <v>141</v>
      </c>
      <c r="AB123" s="3" t="n">
        <v>-0.063</v>
      </c>
      <c r="AC123" s="3" t="n">
        <v>146</v>
      </c>
      <c r="AD123" s="3" t="n">
        <v>-0.435</v>
      </c>
    </row>
    <row r="124" hidden="1">
      <c r="A124" s="3" t="inlineStr">
        <is>
          <t>FastDPE</t>
        </is>
      </c>
      <c r="B124" s="3" t="n"/>
      <c r="C124" s="3" t="inlineStr">
        <is>
          <t>cdrNegCh</t>
        </is>
      </c>
      <c r="D124" s="3" t="inlineStr">
        <is>
          <t>FastDPE Patches of Negative Charge (CDR-vicinity)</t>
        </is>
      </c>
      <c r="E124" s="3" t="inlineStr">
        <is>
          <t>Thermostability (Tm1)</t>
        </is>
      </c>
      <c r="F124" s="3">
        <f>A124&amp;"|"&amp;B124&amp;"|"&amp;C124&amp;"|"&amp;D124&amp;"|"&amp;E124</f>
        <v/>
      </c>
      <c r="G124" s="3">
        <f>COUNTIF($F$2:$F$191,F124)</f>
        <v/>
      </c>
      <c r="H124" s="3" t="n">
        <v>-0.111</v>
      </c>
      <c r="I124" s="3">
        <f>_xlfn.MINIFS($H$2:$H$191,$F$2:$F$191,F124)</f>
        <v/>
      </c>
      <c r="J124" s="3">
        <f>_xlfn.MAXIFS($H$2:$H$191,$F$2:$F$191,F124)</f>
        <v/>
      </c>
      <c r="K124" s="3">
        <f>IF(G124=1,"",IF(I124=J124,"EXACT_DUP","MISMATCH"))</f>
        <v/>
      </c>
      <c r="L124" s="3" t="inlineStr">
        <is>
          <t>***</t>
        </is>
      </c>
      <c r="M124" s="3" t="n">
        <v>1568</v>
      </c>
      <c r="N124" s="3" t="n">
        <v>0.461</v>
      </c>
      <c r="O124" s="3" t="n">
        <v>0.546</v>
      </c>
      <c r="P124" s="3" t="n">
        <v>0.38</v>
      </c>
      <c r="Q124" s="3" t="n">
        <v>0.494</v>
      </c>
      <c r="R124" s="3" t="n">
        <v>0.672</v>
      </c>
      <c r="S124" s="3" t="n"/>
      <c r="T124" s="3" t="n"/>
      <c r="U124" s="3" t="inlineStr">
        <is>
          <t>1.0</t>
        </is>
      </c>
      <c r="V124" s="3" t="inlineStr">
        <is>
          <t>BSD 3-Clause License</t>
        </is>
      </c>
      <c r="W124" s="3" t="n">
        <v>319</v>
      </c>
      <c r="X124" s="3" t="n">
        <v>0.475</v>
      </c>
      <c r="Y124" s="3" t="n">
        <v>943</v>
      </c>
      <c r="Z124" s="3" t="n">
        <v>-0.167</v>
      </c>
      <c r="AA124" s="3" t="n">
        <v>149</v>
      </c>
      <c r="AB124" s="3" t="n">
        <v>0.026</v>
      </c>
      <c r="AC124" s="3" t="n">
        <v>157</v>
      </c>
      <c r="AD124" s="3" t="n">
        <v>-0.053</v>
      </c>
    </row>
    <row r="125" hidden="1">
      <c r="A125" s="3" t="inlineStr">
        <is>
          <t>FastDPE</t>
        </is>
      </c>
      <c r="B125" s="3" t="n"/>
      <c r="C125" s="3" t="inlineStr">
        <is>
          <t>cdrNegCh</t>
        </is>
      </c>
      <c r="D125" s="3" t="inlineStr">
        <is>
          <t>FastDPE Patches of Negative Charge (CDR-vicinity)</t>
        </is>
      </c>
      <c r="E125" s="3" t="inlineStr">
        <is>
          <t>Thermostability (Tm2)</t>
        </is>
      </c>
      <c r="F125" s="3">
        <f>A125&amp;"|"&amp;B125&amp;"|"&amp;C125&amp;"|"&amp;D125&amp;"|"&amp;E125</f>
        <v/>
      </c>
      <c r="G125" s="3">
        <f>COUNTIF($F$2:$F$191,F125)</f>
        <v/>
      </c>
      <c r="H125" s="3" t="n">
        <v>-0.006</v>
      </c>
      <c r="I125" s="3">
        <f>_xlfn.MINIFS($H$2:$H$191,$F$2:$F$191,F125)</f>
        <v/>
      </c>
      <c r="J125" s="3">
        <f>_xlfn.MAXIFS($H$2:$H$191,$F$2:$F$191,F125)</f>
        <v/>
      </c>
      <c r="K125" s="3">
        <f>IF(G125=1,"",IF(I125=J125,"EXACT_DUP","MISMATCH"))</f>
        <v/>
      </c>
      <c r="L125" s="3" t="n"/>
      <c r="M125" s="3" t="n">
        <v>1196</v>
      </c>
      <c r="N125" s="3" t="n">
        <v>0.475</v>
      </c>
      <c r="O125" s="3" t="n">
        <v>0.621</v>
      </c>
      <c r="P125" s="3" t="n">
        <v>0.65</v>
      </c>
      <c r="Q125" s="3" t="n">
        <v>0.55</v>
      </c>
      <c r="R125" s="3" t="n">
        <v>0.75</v>
      </c>
      <c r="S125" s="3" t="n"/>
      <c r="T125" s="3" t="n"/>
      <c r="U125" s="3" t="inlineStr">
        <is>
          <t>1.0</t>
        </is>
      </c>
      <c r="V125" s="3" t="inlineStr">
        <is>
          <t>BSD 3-Clause License</t>
        </is>
      </c>
      <c r="W125" s="3" t="n">
        <v>287</v>
      </c>
      <c r="X125" s="3" t="n">
        <v>0.28</v>
      </c>
      <c r="Y125" s="3" t="n">
        <v>636</v>
      </c>
      <c r="Z125" s="3" t="n">
        <v>-0.143</v>
      </c>
      <c r="AA125" s="3" t="n">
        <v>146</v>
      </c>
      <c r="AB125" s="3" t="n">
        <v>0.09</v>
      </c>
      <c r="AC125" s="3" t="n">
        <v>127</v>
      </c>
      <c r="AD125" s="3" t="n">
        <v>-0.025</v>
      </c>
    </row>
    <row r="126" hidden="1">
      <c r="A126" s="3" t="inlineStr">
        <is>
          <t>FastDPE</t>
        </is>
      </c>
      <c r="B126" s="3" t="n"/>
      <c r="C126" s="3" t="inlineStr">
        <is>
          <t>cdrNegCh</t>
        </is>
      </c>
      <c r="D126" s="3" t="inlineStr">
        <is>
          <t>FastDPE Patches of Negative Charge (CDR-vicinity)</t>
        </is>
      </c>
      <c r="E126" s="3" t="inlineStr">
        <is>
          <t>Thermostability (Tm3)</t>
        </is>
      </c>
      <c r="F126" s="3">
        <f>A126&amp;"|"&amp;B126&amp;"|"&amp;C126&amp;"|"&amp;D126&amp;"|"&amp;E126</f>
        <v/>
      </c>
      <c r="G126" s="3">
        <f>COUNTIF($F$2:$F$191,F126)</f>
        <v/>
      </c>
      <c r="H126" s="3" t="n">
        <v>0.222</v>
      </c>
      <c r="I126" s="3">
        <f>_xlfn.MINIFS($H$2:$H$191,$F$2:$F$191,F126)</f>
        <v/>
      </c>
      <c r="J126" s="3">
        <f>_xlfn.MAXIFS($H$2:$H$191,$F$2:$F$191,F126)</f>
        <v/>
      </c>
      <c r="K126" s="3">
        <f>IF(G126=1,"",IF(I126=J126,"EXACT_DUP","MISMATCH"))</f>
        <v/>
      </c>
      <c r="L126" s="3" t="inlineStr">
        <is>
          <t>**</t>
        </is>
      </c>
      <c r="M126" s="3" t="n">
        <v>189</v>
      </c>
      <c r="N126" s="3" t="n">
        <v>0.659</v>
      </c>
      <c r="O126" s="3" t="n">
        <v>0.595</v>
      </c>
      <c r="P126" s="3" t="n">
        <v>0.8</v>
      </c>
      <c r="Q126" s="3" t="n">
        <v>0.195</v>
      </c>
      <c r="R126" s="3" t="n">
        <v>0.7</v>
      </c>
      <c r="S126" s="3" t="n"/>
      <c r="T126" s="3" t="n"/>
      <c r="U126" s="3" t="inlineStr">
        <is>
          <t>1.0</t>
        </is>
      </c>
      <c r="V126" s="3" t="inlineStr">
        <is>
          <t>BSD 3-Clause License</t>
        </is>
      </c>
      <c r="W126" s="3" t="n">
        <v>84</v>
      </c>
      <c r="X126" s="3" t="n">
        <v>0.468</v>
      </c>
      <c r="Y126" s="3" t="n">
        <v>42</v>
      </c>
      <c r="Z126" s="3" t="n">
        <v>-0.124</v>
      </c>
      <c r="AA126" s="3" t="n">
        <v>60</v>
      </c>
      <c r="AB126" s="3" t="n">
        <v>0.289</v>
      </c>
      <c r="AC126" s="3" t="n">
        <v>3</v>
      </c>
      <c r="AD126" s="3" t="n">
        <v>-1</v>
      </c>
    </row>
    <row r="127" hidden="1">
      <c r="A127" s="3" t="inlineStr">
        <is>
          <t>FastDPE</t>
        </is>
      </c>
      <c r="B127" s="3" t="n"/>
      <c r="C127" s="3" t="inlineStr">
        <is>
          <t>cdrNegCh</t>
        </is>
      </c>
      <c r="D127" s="3" t="inlineStr">
        <is>
          <t>FastDPE Patches of Negative Charge (CDR-vicinity)</t>
        </is>
      </c>
      <c r="E127" s="3" t="inlineStr">
        <is>
          <t>Thermostability (onset)</t>
        </is>
      </c>
      <c r="F127" s="3">
        <f>A127&amp;"|"&amp;B127&amp;"|"&amp;C127&amp;"|"&amp;D127&amp;"|"&amp;E127</f>
        <v/>
      </c>
      <c r="G127" s="3">
        <f>COUNTIF($F$2:$F$191,F127)</f>
        <v/>
      </c>
      <c r="H127" s="3" t="n">
        <v>-0.08599999999999999</v>
      </c>
      <c r="I127" s="3">
        <f>_xlfn.MINIFS($H$2:$H$191,$F$2:$F$191,F127)</f>
        <v/>
      </c>
      <c r="J127" s="3">
        <f>_xlfn.MAXIFS($H$2:$H$191,$F$2:$F$191,F127)</f>
        <v/>
      </c>
      <c r="K127" s="3">
        <f>IF(G127=1,"",IF(I127=J127,"EXACT_DUP","MISMATCH"))</f>
        <v/>
      </c>
      <c r="L127" s="3" t="inlineStr">
        <is>
          <t>***</t>
        </is>
      </c>
      <c r="M127" s="3" t="n">
        <v>1565</v>
      </c>
      <c r="N127" s="3" t="n">
        <v>0.454</v>
      </c>
      <c r="O127" s="3" t="n">
        <v>0.5659999999999999</v>
      </c>
      <c r="P127" s="3" t="n">
        <v>0.367</v>
      </c>
      <c r="Q127" s="3" t="n">
        <v>0.531</v>
      </c>
      <c r="R127" s="3" t="n">
        <v>0.696</v>
      </c>
      <c r="S127" s="3" t="n"/>
      <c r="T127" s="3" t="n"/>
      <c r="U127" s="3" t="inlineStr">
        <is>
          <t>1.0</t>
        </is>
      </c>
      <c r="V127" s="3" t="inlineStr">
        <is>
          <t>BSD 3-Clause License</t>
        </is>
      </c>
      <c r="W127" s="3" t="n">
        <v>319</v>
      </c>
      <c r="X127" s="3" t="n">
        <v>0.413</v>
      </c>
      <c r="Y127" s="3" t="n">
        <v>940</v>
      </c>
      <c r="Z127" s="3" t="n">
        <v>-0.115</v>
      </c>
      <c r="AA127" s="3" t="n">
        <v>149</v>
      </c>
      <c r="AB127" s="3" t="n">
        <v>-0.041</v>
      </c>
      <c r="AC127" s="3" t="n">
        <v>157</v>
      </c>
      <c r="AD127" s="3" t="n">
        <v>0.013</v>
      </c>
    </row>
    <row r="128" hidden="1">
      <c r="A128" s="3" t="inlineStr">
        <is>
          <t>FastDPE</t>
        </is>
      </c>
      <c r="B128" s="3" t="n"/>
      <c r="C128" s="3" t="inlineStr">
        <is>
          <t>cdrNegCh</t>
        </is>
      </c>
      <c r="D128" s="3" t="inlineStr">
        <is>
          <t>FastDPE Patches of Negative Charge (CDR-vicinity)</t>
        </is>
      </c>
      <c r="E128" s="3" t="inlineStr">
        <is>
          <t>Titer</t>
        </is>
      </c>
      <c r="F128" s="3">
        <f>A128&amp;"|"&amp;B128&amp;"|"&amp;C128&amp;"|"&amp;D128&amp;"|"&amp;E128</f>
        <v/>
      </c>
      <c r="G128" s="3">
        <f>COUNTIF($F$2:$F$191,F128)</f>
        <v/>
      </c>
      <c r="H128" s="3" t="n">
        <v>0.122</v>
      </c>
      <c r="I128" s="3">
        <f>_xlfn.MINIFS($H$2:$H$191,$F$2:$F$191,F128)</f>
        <v/>
      </c>
      <c r="J128" s="3">
        <f>_xlfn.MAXIFS($H$2:$H$191,$F$2:$F$191,F128)</f>
        <v/>
      </c>
      <c r="K128" s="3">
        <f>IF(G128=1,"",IF(I128=J128,"EXACT_DUP","MISMATCH"))</f>
        <v/>
      </c>
      <c r="L128" s="3" t="inlineStr">
        <is>
          <t>***</t>
        </is>
      </c>
      <c r="M128" s="3" t="n">
        <v>4671</v>
      </c>
      <c r="N128" s="3" t="n">
        <v>0.589</v>
      </c>
      <c r="O128" s="3" t="n">
        <v>0.403</v>
      </c>
      <c r="P128" s="3" t="n">
        <v>0.526</v>
      </c>
      <c r="Q128" s="3" t="n">
        <v>0.273</v>
      </c>
      <c r="R128" s="3" t="n">
        <v>0.363</v>
      </c>
      <c r="S128" s="3" t="n"/>
      <c r="T128" s="3" t="n"/>
      <c r="U128" s="3" t="inlineStr">
        <is>
          <t>1.0</t>
        </is>
      </c>
      <c r="V128" s="3" t="inlineStr">
        <is>
          <t>BSD 3-Clause License</t>
        </is>
      </c>
      <c r="W128" s="3" t="n">
        <v>658</v>
      </c>
      <c r="X128" s="3" t="n">
        <v>0.308</v>
      </c>
      <c r="Y128" s="3" t="n">
        <v>3259</v>
      </c>
      <c r="Z128" s="3" t="n">
        <v>0.096</v>
      </c>
      <c r="AA128" s="3" t="n">
        <v>290</v>
      </c>
      <c r="AB128" s="3" t="n">
        <v>-0.001</v>
      </c>
      <c r="AC128" s="3" t="n">
        <v>464</v>
      </c>
      <c r="AD128" s="3" t="n">
        <v>0.045</v>
      </c>
    </row>
    <row r="129" hidden="1">
      <c r="A129" s="3" t="inlineStr">
        <is>
          <t>FastDPE</t>
        </is>
      </c>
      <c r="B129" s="3" t="n"/>
      <c r="C129" s="3" t="inlineStr">
        <is>
          <t>cdrPosCh</t>
        </is>
      </c>
      <c r="D129" s="3" t="inlineStr">
        <is>
          <t>FastDPE Patches of Positive Charge (CDR-vicinity)</t>
        </is>
      </c>
      <c r="E129" s="3" t="inlineStr">
        <is>
          <t>Aggregation (Polydispersity idx)</t>
        </is>
      </c>
      <c r="F129" s="3">
        <f>A129&amp;"|"&amp;B129&amp;"|"&amp;C129&amp;"|"&amp;D129&amp;"|"&amp;E129</f>
        <v/>
      </c>
      <c r="G129" s="3">
        <f>COUNTIF($F$2:$F$191,F129)</f>
        <v/>
      </c>
      <c r="H129" s="3" t="n">
        <v>-0.048</v>
      </c>
      <c r="I129" s="3">
        <f>_xlfn.MINIFS($H$2:$H$191,$F$2:$F$191,F129)</f>
        <v/>
      </c>
      <c r="J129" s="3">
        <f>_xlfn.MAXIFS($H$2:$H$191,$F$2:$F$191,F129)</f>
        <v/>
      </c>
      <c r="K129" s="3">
        <f>IF(G129=1,"",IF(I129=J129,"EXACT_DUP","MISMATCH"))</f>
        <v/>
      </c>
      <c r="L129" s="3" t="n"/>
      <c r="M129" s="3" t="n">
        <v>1435</v>
      </c>
      <c r="N129" s="3" t="n">
        <v>0.482</v>
      </c>
      <c r="O129" s="3" t="n">
        <v>0.755</v>
      </c>
      <c r="P129" s="3" t="n">
        <v>0.847</v>
      </c>
      <c r="Q129" s="3" t="n">
        <v>0.639</v>
      </c>
      <c r="R129" s="3" t="n">
        <v>0.806</v>
      </c>
      <c r="S129" s="3" t="n"/>
      <c r="T129" s="3" t="n"/>
      <c r="U129" s="3" t="inlineStr">
        <is>
          <t>1.0</t>
        </is>
      </c>
      <c r="V129" s="3" t="inlineStr">
        <is>
          <t>BSD 3-Clause License</t>
        </is>
      </c>
      <c r="W129" s="3" t="n">
        <v>329</v>
      </c>
      <c r="X129" s="3" t="n">
        <v>-0.256</v>
      </c>
      <c r="Y129" s="3" t="n">
        <v>822</v>
      </c>
      <c r="Z129" s="3" t="n">
        <v>-0.023</v>
      </c>
      <c r="AA129" s="3" t="n">
        <v>139</v>
      </c>
      <c r="AB129" s="3" t="n">
        <v>0.076</v>
      </c>
      <c r="AC129" s="3" t="n">
        <v>145</v>
      </c>
      <c r="AD129" s="3" t="n">
        <v>-0.033</v>
      </c>
    </row>
    <row r="130" hidden="1">
      <c r="A130" s="3" t="inlineStr">
        <is>
          <t>FastDPE</t>
        </is>
      </c>
      <c r="B130" s="3" t="n"/>
      <c r="C130" s="3" t="inlineStr">
        <is>
          <t>cdrPosCh</t>
        </is>
      </c>
      <c r="D130" s="3" t="inlineStr">
        <is>
          <t>FastDPE Patches of Positive Charge (CDR-vicinity)</t>
        </is>
      </c>
      <c r="E130" s="3" t="inlineStr">
        <is>
          <t>Analytical Size Exclusion Chromatography</t>
        </is>
      </c>
      <c r="F130" s="3">
        <f>A130&amp;"|"&amp;B130&amp;"|"&amp;C130&amp;"|"&amp;D130&amp;"|"&amp;E130</f>
        <v/>
      </c>
      <c r="G130" s="3">
        <f>COUNTIF($F$2:$F$191,F130)</f>
        <v/>
      </c>
      <c r="H130" s="3" t="n">
        <v>0.156</v>
      </c>
      <c r="I130" s="3">
        <f>_xlfn.MINIFS($H$2:$H$191,$F$2:$F$191,F130)</f>
        <v/>
      </c>
      <c r="J130" s="3">
        <f>_xlfn.MAXIFS($H$2:$H$191,$F$2:$F$191,F130)</f>
        <v/>
      </c>
      <c r="K130" s="3">
        <f>IF(G130=1,"",IF(I130=J130,"EXACT_DUP","MISMATCH"))</f>
        <v/>
      </c>
      <c r="L130" s="3" t="inlineStr">
        <is>
          <t>***</t>
        </is>
      </c>
      <c r="M130" s="3" t="n">
        <v>1611</v>
      </c>
      <c r="N130" s="3" t="n">
        <v>0.593</v>
      </c>
      <c r="O130" s="3" t="n">
        <v>0.673</v>
      </c>
      <c r="P130" s="3" t="n">
        <v>0.753</v>
      </c>
      <c r="Q130" s="3" t="n">
        <v>0.519</v>
      </c>
      <c r="R130" s="3" t="n">
        <v>0.704</v>
      </c>
      <c r="S130" s="3" t="n"/>
      <c r="T130" s="3" t="n"/>
      <c r="U130" s="3" t="inlineStr">
        <is>
          <t>1.0</t>
        </is>
      </c>
      <c r="V130" s="3" t="inlineStr">
        <is>
          <t>BSD 3-Clause License</t>
        </is>
      </c>
      <c r="W130" s="3" t="n">
        <v>353</v>
      </c>
      <c r="X130" s="3" t="n">
        <v>0.242</v>
      </c>
      <c r="Y130" s="3" t="n">
        <v>938</v>
      </c>
      <c r="Z130" s="3" t="n">
        <v>0.07199999999999999</v>
      </c>
      <c r="AA130" s="3" t="n">
        <v>156</v>
      </c>
      <c r="AB130" s="3" t="n">
        <v>-0.219</v>
      </c>
      <c r="AC130" s="3" t="n">
        <v>164</v>
      </c>
      <c r="AD130" s="3" t="n">
        <v>-0.363</v>
      </c>
    </row>
    <row r="131" hidden="1">
      <c r="A131" s="3" t="inlineStr">
        <is>
          <t>FastDPE</t>
        </is>
      </c>
      <c r="B131" s="3" t="n"/>
      <c r="C131" s="3" t="inlineStr">
        <is>
          <t>cdrPosCh</t>
        </is>
      </c>
      <c r="D131" s="3" t="inlineStr">
        <is>
          <t>FastDPE Patches of Positive Charge (CDR-vicinity)</t>
        </is>
      </c>
      <c r="E131" s="3" t="inlineStr">
        <is>
          <t>Polyreactivity (absorbance)</t>
        </is>
      </c>
      <c r="F131" s="3">
        <f>A131&amp;"|"&amp;B131&amp;"|"&amp;C131&amp;"|"&amp;D131&amp;"|"&amp;E131</f>
        <v/>
      </c>
      <c r="G131" s="3">
        <f>COUNTIF($F$2:$F$191,F131)</f>
        <v/>
      </c>
      <c r="H131" s="3" t="n">
        <v>0.128</v>
      </c>
      <c r="I131" s="3">
        <f>_xlfn.MINIFS($H$2:$H$191,$F$2:$F$191,F131)</f>
        <v/>
      </c>
      <c r="J131" s="3">
        <f>_xlfn.MAXIFS($H$2:$H$191,$F$2:$F$191,F131)</f>
        <v/>
      </c>
      <c r="K131" s="3">
        <f>IF(G131=1,"",IF(I131=J131,"EXACT_DUP","MISMATCH"))</f>
        <v/>
      </c>
      <c r="L131" s="3" t="inlineStr">
        <is>
          <t>***</t>
        </is>
      </c>
      <c r="M131" s="3" t="n">
        <v>1442</v>
      </c>
      <c r="N131" s="3" t="n">
        <v>0.581</v>
      </c>
      <c r="O131" s="3" t="n">
        <v>0.734</v>
      </c>
      <c r="P131" s="3" t="n">
        <v>0.849</v>
      </c>
      <c r="Q131" s="3" t="n">
        <v>0.575</v>
      </c>
      <c r="R131" s="3" t="n">
        <v>0.836</v>
      </c>
      <c r="S131" s="3" t="n"/>
      <c r="T131" s="3" t="n"/>
      <c r="U131" s="3" t="inlineStr">
        <is>
          <t>1.0</t>
        </is>
      </c>
      <c r="V131" s="3" t="inlineStr">
        <is>
          <t>BSD 3-Clause License</t>
        </is>
      </c>
      <c r="W131" s="3" t="n">
        <v>330</v>
      </c>
      <c r="X131" s="3" t="n">
        <v>0.197</v>
      </c>
      <c r="Y131" s="3" t="n">
        <v>825</v>
      </c>
      <c r="Z131" s="3" t="n">
        <v>0.205</v>
      </c>
      <c r="AA131" s="3" t="n">
        <v>141</v>
      </c>
      <c r="AB131" s="3" t="n">
        <v>0.131</v>
      </c>
      <c r="AC131" s="3" t="n">
        <v>146</v>
      </c>
      <c r="AD131" s="3" t="n">
        <v>0.363</v>
      </c>
    </row>
    <row r="132" hidden="1">
      <c r="A132" s="3" t="inlineStr">
        <is>
          <t>FastDPE</t>
        </is>
      </c>
      <c r="B132" s="3" t="n"/>
      <c r="C132" s="3" t="inlineStr">
        <is>
          <t>cdrPosCh</t>
        </is>
      </c>
      <c r="D132" s="3" t="inlineStr">
        <is>
          <t>FastDPE Patches of Positive Charge (CDR-vicinity)</t>
        </is>
      </c>
      <c r="E132" s="3" t="inlineStr">
        <is>
          <t>Thermostability (Tm1)</t>
        </is>
      </c>
      <c r="F132" s="3">
        <f>A132&amp;"|"&amp;B132&amp;"|"&amp;C132&amp;"|"&amp;D132&amp;"|"&amp;E132</f>
        <v/>
      </c>
      <c r="G132" s="3">
        <f>COUNTIF($F$2:$F$191,F132)</f>
        <v/>
      </c>
      <c r="H132" s="3" t="n">
        <v>0.151</v>
      </c>
      <c r="I132" s="3">
        <f>_xlfn.MINIFS($H$2:$H$191,$F$2:$F$191,F132)</f>
        <v/>
      </c>
      <c r="J132" s="3">
        <f>_xlfn.MAXIFS($H$2:$H$191,$F$2:$F$191,F132)</f>
        <v/>
      </c>
      <c r="K132" s="3">
        <f>IF(G132=1,"",IF(I132=J132,"EXACT_DUP","MISMATCH"))</f>
        <v/>
      </c>
      <c r="L132" s="3" t="inlineStr">
        <is>
          <t>***</t>
        </is>
      </c>
      <c r="M132" s="3" t="n">
        <v>1568</v>
      </c>
      <c r="N132" s="3" t="n">
        <v>0.583</v>
      </c>
      <c r="O132" s="3" t="n">
        <v>0.651</v>
      </c>
      <c r="P132" s="3" t="n">
        <v>0.6840000000000001</v>
      </c>
      <c r="Q132" s="3" t="n">
        <v>0.506</v>
      </c>
      <c r="R132" s="3" t="n">
        <v>0.671</v>
      </c>
      <c r="S132" s="3" t="n"/>
      <c r="T132" s="3" t="n"/>
      <c r="U132" s="3" t="inlineStr">
        <is>
          <t>1.0</t>
        </is>
      </c>
      <c r="V132" s="3" t="inlineStr">
        <is>
          <t>BSD 3-Clause License</t>
        </is>
      </c>
      <c r="W132" s="3" t="n">
        <v>319</v>
      </c>
      <c r="X132" s="3" t="n">
        <v>0.358</v>
      </c>
      <c r="Y132" s="3" t="n">
        <v>943</v>
      </c>
      <c r="Z132" s="3" t="n">
        <v>0.041</v>
      </c>
      <c r="AA132" s="3" t="n">
        <v>149</v>
      </c>
      <c r="AB132" s="3" t="n">
        <v>-0.258</v>
      </c>
      <c r="AC132" s="3" t="n">
        <v>157</v>
      </c>
      <c r="AD132" s="3" t="n">
        <v>0.137</v>
      </c>
    </row>
    <row r="133" hidden="1">
      <c r="A133" s="3" t="inlineStr">
        <is>
          <t>FastDPE</t>
        </is>
      </c>
      <c r="B133" s="3" t="n"/>
      <c r="C133" s="3" t="inlineStr">
        <is>
          <t>cdrPosCh</t>
        </is>
      </c>
      <c r="D133" s="3" t="inlineStr">
        <is>
          <t>FastDPE Patches of Positive Charge (CDR-vicinity)</t>
        </is>
      </c>
      <c r="E133" s="3" t="inlineStr">
        <is>
          <t>Thermostability (Tm2)</t>
        </is>
      </c>
      <c r="F133" s="3">
        <f>A133&amp;"|"&amp;B133&amp;"|"&amp;C133&amp;"|"&amp;D133&amp;"|"&amp;E133</f>
        <v/>
      </c>
      <c r="G133" s="3">
        <f>COUNTIF($F$2:$F$191,F133)</f>
        <v/>
      </c>
      <c r="H133" s="3" t="n">
        <v>0.024</v>
      </c>
      <c r="I133" s="3">
        <f>_xlfn.MINIFS($H$2:$H$191,$F$2:$F$191,F133)</f>
        <v/>
      </c>
      <c r="J133" s="3">
        <f>_xlfn.MAXIFS($H$2:$H$191,$F$2:$F$191,F133)</f>
        <v/>
      </c>
      <c r="K133" s="3">
        <f>IF(G133=1,"",IF(I133=J133,"EXACT_DUP","MISMATCH"))</f>
        <v/>
      </c>
      <c r="L133" s="3" t="n"/>
      <c r="M133" s="3" t="n">
        <v>1196</v>
      </c>
      <c r="N133" s="3" t="n">
        <v>0.516</v>
      </c>
      <c r="O133" s="3" t="n">
        <v>0.651</v>
      </c>
      <c r="P133" s="3" t="n">
        <v>0.65</v>
      </c>
      <c r="Q133" s="3" t="n">
        <v>0.55</v>
      </c>
      <c r="R133" s="3" t="n">
        <v>0.717</v>
      </c>
      <c r="S133" s="3" t="n"/>
      <c r="T133" s="3" t="n"/>
      <c r="U133" s="3" t="inlineStr">
        <is>
          <t>1.0</t>
        </is>
      </c>
      <c r="V133" s="3" t="inlineStr">
        <is>
          <t>BSD 3-Clause License</t>
        </is>
      </c>
      <c r="W133" s="3" t="n">
        <v>287</v>
      </c>
      <c r="X133" s="3" t="n">
        <v>0.265</v>
      </c>
      <c r="Y133" s="3" t="n">
        <v>636</v>
      </c>
      <c r="Z133" s="3" t="n">
        <v>-0.067</v>
      </c>
      <c r="AA133" s="3" t="n">
        <v>146</v>
      </c>
      <c r="AB133" s="3" t="n">
        <v>-0.297</v>
      </c>
      <c r="AC133" s="3" t="n">
        <v>127</v>
      </c>
      <c r="AD133" s="3" t="n">
        <v>0.056</v>
      </c>
    </row>
    <row r="134" hidden="1">
      <c r="A134" s="3" t="inlineStr">
        <is>
          <t>FastDPE</t>
        </is>
      </c>
      <c r="B134" s="3" t="n"/>
      <c r="C134" s="3" t="inlineStr">
        <is>
          <t>cdrPosCh</t>
        </is>
      </c>
      <c r="D134" s="3" t="inlineStr">
        <is>
          <t>FastDPE Patches of Positive Charge (CDR-vicinity)</t>
        </is>
      </c>
      <c r="E134" s="3" t="inlineStr">
        <is>
          <t>Thermostability (Tm3)</t>
        </is>
      </c>
      <c r="F134" s="3">
        <f>A134&amp;"|"&amp;B134&amp;"|"&amp;C134&amp;"|"&amp;D134&amp;"|"&amp;E134</f>
        <v/>
      </c>
      <c r="G134" s="3">
        <f>COUNTIF($F$2:$F$191,F134)</f>
        <v/>
      </c>
      <c r="H134" s="3" t="n">
        <v>0.022</v>
      </c>
      <c r="I134" s="3">
        <f>_xlfn.MINIFS($H$2:$H$191,$F$2:$F$191,F134)</f>
        <v/>
      </c>
      <c r="J134" s="3">
        <f>_xlfn.MAXIFS($H$2:$H$191,$F$2:$F$191,F134)</f>
        <v/>
      </c>
      <c r="K134" s="3">
        <f>IF(G134=1,"",IF(I134=J134,"EXACT_DUP","MISMATCH"))</f>
        <v/>
      </c>
      <c r="L134" s="3" t="n"/>
      <c r="M134" s="3" t="n">
        <v>189</v>
      </c>
      <c r="N134" s="3" t="n">
        <v>0.507</v>
      </c>
      <c r="O134" s="3" t="n">
        <v>0.488</v>
      </c>
      <c r="P134" s="3" t="n">
        <v>0.7</v>
      </c>
      <c r="Q134" s="3" t="n">
        <v>0.195</v>
      </c>
      <c r="R134" s="3" t="n">
        <v>0.7</v>
      </c>
      <c r="S134" s="3" t="n"/>
      <c r="T134" s="3" t="n"/>
      <c r="U134" s="3" t="inlineStr">
        <is>
          <t>1.0</t>
        </is>
      </c>
      <c r="V134" s="3" t="inlineStr">
        <is>
          <t>BSD 3-Clause License</t>
        </is>
      </c>
      <c r="W134" s="3" t="n">
        <v>84</v>
      </c>
      <c r="X134" s="3" t="n">
        <v>0.297</v>
      </c>
      <c r="Y134" s="3" t="n">
        <v>42</v>
      </c>
      <c r="Z134" s="3" t="n">
        <v>-0.07099999999999999</v>
      </c>
      <c r="AA134" s="3" t="n">
        <v>60</v>
      </c>
      <c r="AB134" s="3" t="n">
        <v>-0.271</v>
      </c>
      <c r="AC134" s="3" t="n">
        <v>3</v>
      </c>
      <c r="AD134" s="3" t="n">
        <v>0.866</v>
      </c>
    </row>
    <row r="135" hidden="1">
      <c r="A135" s="3" t="inlineStr">
        <is>
          <t>FastDPE</t>
        </is>
      </c>
      <c r="B135" s="3" t="n"/>
      <c r="C135" s="3" t="inlineStr">
        <is>
          <t>cdrPosCh</t>
        </is>
      </c>
      <c r="D135" s="3" t="inlineStr">
        <is>
          <t>FastDPE Patches of Positive Charge (CDR-vicinity)</t>
        </is>
      </c>
      <c r="E135" s="3" t="inlineStr">
        <is>
          <t>Thermostability (onset)</t>
        </is>
      </c>
      <c r="F135" s="3">
        <f>A135&amp;"|"&amp;B135&amp;"|"&amp;C135&amp;"|"&amp;D135&amp;"|"&amp;E135</f>
        <v/>
      </c>
      <c r="G135" s="3">
        <f>COUNTIF($F$2:$F$191,F135)</f>
        <v/>
      </c>
      <c r="H135" s="3" t="n">
        <v>0.144</v>
      </c>
      <c r="I135" s="3">
        <f>_xlfn.MINIFS($H$2:$H$191,$F$2:$F$191,F135)</f>
        <v/>
      </c>
      <c r="J135" s="3">
        <f>_xlfn.MAXIFS($H$2:$H$191,$F$2:$F$191,F135)</f>
        <v/>
      </c>
      <c r="K135" s="3">
        <f>IF(G135=1,"",IF(I135=J135,"EXACT_DUP","MISMATCH"))</f>
        <v/>
      </c>
      <c r="L135" s="3" t="inlineStr">
        <is>
          <t>***</t>
        </is>
      </c>
      <c r="M135" s="3" t="n">
        <v>1565</v>
      </c>
      <c r="N135" s="3" t="n">
        <v>0.574</v>
      </c>
      <c r="O135" s="3" t="n">
        <v>0.68</v>
      </c>
      <c r="P135" s="3" t="n">
        <v>0.772</v>
      </c>
      <c r="Q135" s="3" t="n">
        <v>0.53</v>
      </c>
      <c r="R135" s="3" t="n">
        <v>0.709</v>
      </c>
      <c r="S135" s="3" t="n"/>
      <c r="T135" s="3" t="n"/>
      <c r="U135" s="3" t="inlineStr">
        <is>
          <t>1.0</t>
        </is>
      </c>
      <c r="V135" s="3" t="inlineStr">
        <is>
          <t>BSD 3-Clause License</t>
        </is>
      </c>
      <c r="W135" s="3" t="n">
        <v>319</v>
      </c>
      <c r="X135" s="3" t="n">
        <v>0.349</v>
      </c>
      <c r="Y135" s="3" t="n">
        <v>940</v>
      </c>
      <c r="Z135" s="3" t="n">
        <v>0.045</v>
      </c>
      <c r="AA135" s="3" t="n">
        <v>149</v>
      </c>
      <c r="AB135" s="3" t="n">
        <v>-0.249</v>
      </c>
      <c r="AC135" s="3" t="n">
        <v>157</v>
      </c>
      <c r="AD135" s="3" t="n">
        <v>0.057</v>
      </c>
    </row>
    <row r="136" hidden="1">
      <c r="A136" s="3" t="inlineStr">
        <is>
          <t>FastDPE</t>
        </is>
      </c>
      <c r="B136" s="3" t="n"/>
      <c r="C136" s="3" t="inlineStr">
        <is>
          <t>cdrPosCh</t>
        </is>
      </c>
      <c r="D136" s="3" t="inlineStr">
        <is>
          <t>FastDPE Patches of Positive Charge (CDR-vicinity)</t>
        </is>
      </c>
      <c r="E136" s="3" t="inlineStr">
        <is>
          <t>Titer</t>
        </is>
      </c>
      <c r="F136" s="3">
        <f>A136&amp;"|"&amp;B136&amp;"|"&amp;C136&amp;"|"&amp;D136&amp;"|"&amp;E136</f>
        <v/>
      </c>
      <c r="G136" s="3">
        <f>COUNTIF($F$2:$F$191,F136)</f>
        <v/>
      </c>
      <c r="H136" s="3" t="n">
        <v>0.091</v>
      </c>
      <c r="I136" s="3">
        <f>_xlfn.MINIFS($H$2:$H$191,$F$2:$F$191,F136)</f>
        <v/>
      </c>
      <c r="J136" s="3">
        <f>_xlfn.MAXIFS($H$2:$H$191,$F$2:$F$191,F136)</f>
        <v/>
      </c>
      <c r="K136" s="3">
        <f>IF(G136=1,"",IF(I136=J136,"EXACT_DUP","MISMATCH"))</f>
        <v/>
      </c>
      <c r="L136" s="3" t="inlineStr">
        <is>
          <t>***</t>
        </is>
      </c>
      <c r="M136" s="3" t="n">
        <v>4671</v>
      </c>
      <c r="N136" s="3" t="n">
        <v>0.572</v>
      </c>
      <c r="O136" s="3" t="n">
        <v>0.377</v>
      </c>
      <c r="P136" s="3" t="n">
        <v>0.436</v>
      </c>
      <c r="Q136" s="3" t="n">
        <v>0.269</v>
      </c>
      <c r="R136" s="3" t="n">
        <v>0.363</v>
      </c>
      <c r="S136" s="3" t="n"/>
      <c r="T136" s="3" t="n"/>
      <c r="U136" s="3" t="inlineStr">
        <is>
          <t>1.0</t>
        </is>
      </c>
      <c r="V136" s="3" t="inlineStr">
        <is>
          <t>BSD 3-Clause License</t>
        </is>
      </c>
      <c r="W136" s="3" t="n">
        <v>658</v>
      </c>
      <c r="X136" s="3" t="n">
        <v>0.325</v>
      </c>
      <c r="Y136" s="3" t="n">
        <v>3259</v>
      </c>
      <c r="Z136" s="3" t="n">
        <v>0.11</v>
      </c>
      <c r="AA136" s="3" t="n">
        <v>290</v>
      </c>
      <c r="AB136" s="3" t="n">
        <v>-0.166</v>
      </c>
      <c r="AC136" s="3" t="n">
        <v>464</v>
      </c>
      <c r="AD136" s="3" t="n">
        <v>0.06</v>
      </c>
    </row>
    <row r="137" hidden="1">
      <c r="A137" s="3" t="inlineStr">
        <is>
          <t>Nanobody Polyreactivity Scorer</t>
        </is>
      </c>
      <c r="B137" s="3" t="n"/>
      <c r="C137" s="3" t="inlineStr">
        <is>
          <t>deepFACS lr onehot</t>
        </is>
      </c>
      <c r="D137" s="3" t="inlineStr">
        <is>
          <t>NanoPolyreactivity prediction with deepFACS_model</t>
        </is>
      </c>
      <c r="E137" s="3" t="inlineStr">
        <is>
          <t>Polyreactivity (absorbance)</t>
        </is>
      </c>
      <c r="F137" s="3">
        <f>A137&amp;"|"&amp;B137&amp;"|"&amp;C137&amp;"|"&amp;D137&amp;"|"&amp;E137</f>
        <v/>
      </c>
      <c r="G137" s="3">
        <f>COUNTIF($F$2:$F$191,F137)</f>
        <v/>
      </c>
      <c r="H137" s="3" t="n">
        <v>-0.151</v>
      </c>
      <c r="I137" s="3">
        <f>_xlfn.MINIFS($H$2:$H$191,$F$2:$F$191,F137)</f>
        <v/>
      </c>
      <c r="J137" s="3">
        <f>_xlfn.MAXIFS($H$2:$H$191,$F$2:$F$191,F137)</f>
        <v/>
      </c>
      <c r="K137" s="3">
        <f>IF(G137=1,"",IF(I137=J137,"EXACT_DUP","MISMATCH"))</f>
        <v/>
      </c>
      <c r="L137" s="3" t="inlineStr">
        <is>
          <t>***</t>
        </is>
      </c>
      <c r="M137" s="3" t="n">
        <v>1432</v>
      </c>
      <c r="N137" s="3" t="n">
        <v>0.595</v>
      </c>
      <c r="O137" s="3" t="n">
        <v>0.728</v>
      </c>
      <c r="P137" s="3" t="n">
        <v>0.597</v>
      </c>
      <c r="Q137" s="3" t="n">
        <v>0.597</v>
      </c>
      <c r="R137" s="3" t="n">
        <v>0.778</v>
      </c>
      <c r="S137" s="3" t="n"/>
      <c r="T137" s="3" t="n"/>
      <c r="U137" s="3" t="inlineStr">
        <is>
          <t>1.0</t>
        </is>
      </c>
      <c r="V137" s="3" t="inlineStr">
        <is>
          <t>MIT License</t>
        </is>
      </c>
      <c r="W137" s="3" t="n">
        <v>330</v>
      </c>
      <c r="X137" s="3" t="n">
        <v>-0.185</v>
      </c>
      <c r="Y137" s="3" t="n">
        <v>815</v>
      </c>
      <c r="Z137" s="3" t="n">
        <v>-0.15</v>
      </c>
      <c r="AA137" s="3" t="n">
        <v>141</v>
      </c>
      <c r="AB137" s="3" t="n">
        <v>0.003</v>
      </c>
      <c r="AC137" s="3" t="n">
        <v>146</v>
      </c>
      <c r="AD137" s="3" t="n">
        <v>-0.183</v>
      </c>
    </row>
    <row r="138" hidden="1">
      <c r="A138" s="3" t="inlineStr">
        <is>
          <t>Nanobody Polyreactivity Scorer</t>
        </is>
      </c>
      <c r="B138" s="3" t="n"/>
      <c r="C138" s="3" t="inlineStr">
        <is>
          <t>origFACS lr onehot</t>
        </is>
      </c>
      <c r="D138" s="3" t="inlineStr">
        <is>
          <t>NanoPolyreactivity prediction with origFACS_model</t>
        </is>
      </c>
      <c r="E138" s="3" t="inlineStr">
        <is>
          <t>Polyreactivity (absorbance)</t>
        </is>
      </c>
      <c r="F138" s="3">
        <f>A138&amp;"|"&amp;B138&amp;"|"&amp;C138&amp;"|"&amp;D138&amp;"|"&amp;E138</f>
        <v/>
      </c>
      <c r="G138" s="3">
        <f>COUNTIF($F$2:$F$191,F138)</f>
        <v/>
      </c>
      <c r="H138" s="3" t="n">
        <v>-0.165</v>
      </c>
      <c r="I138" s="3">
        <f>_xlfn.MINIFS($H$2:$H$191,$F$2:$F$191,F138)</f>
        <v/>
      </c>
      <c r="J138" s="3">
        <f>_xlfn.MAXIFS($H$2:$H$191,$F$2:$F$191,F138)</f>
        <v/>
      </c>
      <c r="K138" s="3">
        <f>IF(G138=1,"",IF(I138=J138,"EXACT_DUP","MISMATCH"))</f>
        <v/>
      </c>
      <c r="L138" s="3" t="inlineStr">
        <is>
          <t>***</t>
        </is>
      </c>
      <c r="M138" s="3" t="n">
        <v>1432</v>
      </c>
      <c r="N138" s="3" t="n">
        <v>0.587</v>
      </c>
      <c r="O138" s="3" t="n">
        <v>0.737</v>
      </c>
      <c r="P138" s="3" t="n">
        <v>0.764</v>
      </c>
      <c r="Q138" s="3" t="n">
        <v>0.61</v>
      </c>
      <c r="R138" s="3" t="n">
        <v>0.792</v>
      </c>
      <c r="S138" s="3" t="n"/>
      <c r="T138" s="3" t="n"/>
      <c r="U138" s="3" t="n"/>
      <c r="V138" s="3" t="n"/>
      <c r="W138" s="3" t="n">
        <v>330</v>
      </c>
      <c r="X138" s="3" t="n">
        <v>-0.082</v>
      </c>
      <c r="Y138" s="3" t="n">
        <v>815</v>
      </c>
      <c r="Z138" s="3" t="n">
        <v>-0.237</v>
      </c>
      <c r="AA138" s="3" t="n">
        <v>141</v>
      </c>
      <c r="AB138" s="3" t="n">
        <v>-0.05</v>
      </c>
      <c r="AC138" s="3" t="n">
        <v>146</v>
      </c>
      <c r="AD138" s="3" t="n">
        <v>-0.204</v>
      </c>
    </row>
    <row r="139" hidden="1">
      <c r="A139" s="3" t="inlineStr">
        <is>
          <t>PLM Pseudo-Perplexity</t>
        </is>
      </c>
      <c r="B139" s="3" t="inlineStr">
        <is>
          <t>model_type=amplify</t>
        </is>
      </c>
      <c r="C139" s="3" t="inlineStr">
        <is>
          <t>pseudo_perplexity</t>
        </is>
      </c>
      <c r="D139" s="3" t="inlineStr">
        <is>
          <t>Amplify Perplexity</t>
        </is>
      </c>
      <c r="E139" s="3" t="inlineStr">
        <is>
          <t>Aggregation (Polydispersity idx)</t>
        </is>
      </c>
      <c r="F139" s="3">
        <f>A139&amp;"|"&amp;B139&amp;"|"&amp;C139&amp;"|"&amp;D139&amp;"|"&amp;E139</f>
        <v/>
      </c>
      <c r="G139" s="3">
        <f>COUNTIF($F$2:$F$191,F139)</f>
        <v/>
      </c>
      <c r="H139" s="3" t="n">
        <v>0.177</v>
      </c>
      <c r="I139" s="3">
        <f>_xlfn.MINIFS($H$2:$H$191,$F$2:$F$191,F139)</f>
        <v/>
      </c>
      <c r="J139" s="3">
        <f>_xlfn.MAXIFS($H$2:$H$191,$F$2:$F$191,F139)</f>
        <v/>
      </c>
      <c r="K139" s="3">
        <f>IF(G139=1,"",IF(I139=J139,"EXACT_DUP","MISMATCH"))</f>
        <v/>
      </c>
      <c r="L139" s="3" t="inlineStr">
        <is>
          <t>***</t>
        </is>
      </c>
      <c r="M139" s="3" t="n">
        <v>1435</v>
      </c>
      <c r="N139" s="3" t="n">
        <v>0.424</v>
      </c>
      <c r="O139" s="3" t="n">
        <v>0.706</v>
      </c>
      <c r="P139" s="3" t="n">
        <v>0.583</v>
      </c>
      <c r="Q139" s="3" t="n">
        <v>0.68</v>
      </c>
      <c r="R139" s="3" t="n">
        <v>0.848</v>
      </c>
      <c r="S139" s="3" t="n"/>
      <c r="T139" s="3" t="n"/>
      <c r="U139" s="3" t="inlineStr">
        <is>
          <t>1.0</t>
        </is>
      </c>
      <c r="V139" s="3" t="inlineStr">
        <is>
          <t>MIT License</t>
        </is>
      </c>
      <c r="W139" s="3" t="n">
        <v>329</v>
      </c>
      <c r="X139" s="3" t="n">
        <v>0.168</v>
      </c>
      <c r="Y139" s="3" t="n">
        <v>822</v>
      </c>
      <c r="Z139" s="3" t="n">
        <v>0.08500000000000001</v>
      </c>
      <c r="AA139" s="3" t="n">
        <v>139</v>
      </c>
      <c r="AB139" s="3" t="n">
        <v>0.364</v>
      </c>
      <c r="AC139" s="3" t="n">
        <v>145</v>
      </c>
      <c r="AD139" s="3" t="n">
        <v>0.081</v>
      </c>
    </row>
    <row r="140" hidden="1">
      <c r="A140" s="3" t="inlineStr">
        <is>
          <t>PLM Pseudo-Perplexity</t>
        </is>
      </c>
      <c r="B140" s="3" t="inlineStr">
        <is>
          <t>model_type=amplify</t>
        </is>
      </c>
      <c r="C140" s="3" t="inlineStr">
        <is>
          <t>pseudo_perplexity</t>
        </is>
      </c>
      <c r="D140" s="3" t="inlineStr">
        <is>
          <t>Amplify Perplexity</t>
        </is>
      </c>
      <c r="E140" s="3" t="inlineStr">
        <is>
          <t>Analytical Size Exclusion Chromatography</t>
        </is>
      </c>
      <c r="F140" s="3">
        <f>A140&amp;"|"&amp;B140&amp;"|"&amp;C140&amp;"|"&amp;D140&amp;"|"&amp;E140</f>
        <v/>
      </c>
      <c r="G140" s="3">
        <f>COUNTIF($F$2:$F$191,F140)</f>
        <v/>
      </c>
      <c r="H140" s="3" t="n">
        <v>0.142</v>
      </c>
      <c r="I140" s="3">
        <f>_xlfn.MINIFS($H$2:$H$191,$F$2:$F$191,F140)</f>
        <v/>
      </c>
      <c r="J140" s="3">
        <f>_xlfn.MAXIFS($H$2:$H$191,$F$2:$F$191,F140)</f>
        <v/>
      </c>
      <c r="K140" s="3">
        <f>IF(G140=1,"",IF(I140=J140,"EXACT_DUP","MISMATCH"))</f>
        <v/>
      </c>
      <c r="L140" s="3" t="inlineStr">
        <is>
          <t>***</t>
        </is>
      </c>
      <c r="M140" s="3" t="n">
        <v>1611</v>
      </c>
      <c r="N140" s="3" t="n">
        <v>0.445</v>
      </c>
      <c r="O140" s="3" t="n">
        <v>0.5620000000000001</v>
      </c>
      <c r="P140" s="3" t="n">
        <v>0.494</v>
      </c>
      <c r="Q140" s="3" t="n">
        <v>0.494</v>
      </c>
      <c r="R140" s="3" t="n">
        <v>0.679</v>
      </c>
      <c r="S140" s="3" t="n"/>
      <c r="T140" s="3" t="n"/>
      <c r="U140" s="3" t="inlineStr">
        <is>
          <t>1.0</t>
        </is>
      </c>
      <c r="V140" s="3" t="inlineStr">
        <is>
          <t>MIT License</t>
        </is>
      </c>
      <c r="W140" s="3" t="n">
        <v>353</v>
      </c>
      <c r="X140" s="3" t="n">
        <v>-0.173</v>
      </c>
      <c r="Y140" s="3" t="n">
        <v>938</v>
      </c>
      <c r="Z140" s="3" t="n">
        <v>0.056</v>
      </c>
      <c r="AA140" s="3" t="n">
        <v>156</v>
      </c>
      <c r="AB140" s="3" t="n">
        <v>-0.341</v>
      </c>
      <c r="AC140" s="3" t="n">
        <v>164</v>
      </c>
      <c r="AD140" s="3" t="n">
        <v>-0.091</v>
      </c>
    </row>
    <row r="141" hidden="1">
      <c r="A141" s="3" t="inlineStr">
        <is>
          <t>PLM Pseudo-Perplexity</t>
        </is>
      </c>
      <c r="B141" s="3" t="inlineStr">
        <is>
          <t>model_type=amplify</t>
        </is>
      </c>
      <c r="C141" s="3" t="inlineStr">
        <is>
          <t>pseudo_perplexity</t>
        </is>
      </c>
      <c r="D141" s="3" t="inlineStr">
        <is>
          <t>Amplify Perplexity</t>
        </is>
      </c>
      <c r="E141" s="3" t="inlineStr">
        <is>
          <t>Hydrophobicity</t>
        </is>
      </c>
      <c r="F141" s="3">
        <f>A141&amp;"|"&amp;B141&amp;"|"&amp;C141&amp;"|"&amp;D141&amp;"|"&amp;E141</f>
        <v/>
      </c>
      <c r="G141" s="3">
        <f>COUNTIF($F$2:$F$191,F141)</f>
        <v/>
      </c>
      <c r="H141" s="3" t="n">
        <v>0.153</v>
      </c>
      <c r="I141" s="3">
        <f>_xlfn.MINIFS($H$2:$H$191,$F$2:$F$191,F141)</f>
        <v/>
      </c>
      <c r="J141" s="3">
        <f>_xlfn.MAXIFS($H$2:$H$191,$F$2:$F$191,F141)</f>
        <v/>
      </c>
      <c r="K141" s="3">
        <f>IF(G141=1,"",IF(I141=J141,"EXACT_DUP","MISMATCH"))</f>
        <v/>
      </c>
      <c r="L141" s="3" t="inlineStr">
        <is>
          <t>***</t>
        </is>
      </c>
      <c r="M141" s="3" t="n">
        <v>1442</v>
      </c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1.0</t>
        </is>
      </c>
      <c r="V141" s="3" t="inlineStr">
        <is>
          <t>MIT License</t>
        </is>
      </c>
      <c r="W141" s="3" t="n">
        <v>330</v>
      </c>
      <c r="X141" s="3" t="n">
        <v>0.107</v>
      </c>
      <c r="Y141" s="3" t="n">
        <v>825</v>
      </c>
      <c r="Z141" s="3" t="n">
        <v>-0.031</v>
      </c>
      <c r="AA141" s="3" t="n">
        <v>141</v>
      </c>
      <c r="AB141" s="3" t="n">
        <v>0.231</v>
      </c>
      <c r="AC141" s="3" t="n">
        <v>146</v>
      </c>
      <c r="AD141" s="3" t="n">
        <v>0.067</v>
      </c>
    </row>
    <row r="142" hidden="1">
      <c r="A142" s="3" t="inlineStr">
        <is>
          <t>PLM Pseudo-Perplexity</t>
        </is>
      </c>
      <c r="B142" s="3" t="inlineStr">
        <is>
          <t>model_type=amplify</t>
        </is>
      </c>
      <c r="C142" s="3" t="inlineStr">
        <is>
          <t>pseudo_perplexity</t>
        </is>
      </c>
      <c r="D142" s="3" t="inlineStr">
        <is>
          <t>Amplify Perplexity</t>
        </is>
      </c>
      <c r="E142" s="3" t="inlineStr">
        <is>
          <t>Polyreactivity (absorbance)</t>
        </is>
      </c>
      <c r="F142" s="3">
        <f>A142&amp;"|"&amp;B142&amp;"|"&amp;C142&amp;"|"&amp;D142&amp;"|"&amp;E142</f>
        <v/>
      </c>
      <c r="G142" s="3">
        <f>COUNTIF($F$2:$F$191,F142)</f>
        <v/>
      </c>
      <c r="H142" s="3" t="n">
        <v>-0.05</v>
      </c>
      <c r="I142" s="3">
        <f>_xlfn.MINIFS($H$2:$H$191,$F$2:$F$191,F142)</f>
        <v/>
      </c>
      <c r="J142" s="3">
        <f>_xlfn.MAXIFS($H$2:$H$191,$F$2:$F$191,F142)</f>
        <v/>
      </c>
      <c r="K142" s="3">
        <f>IF(G142=1,"",IF(I142=J142,"EXACT_DUP","MISMATCH"))</f>
        <v/>
      </c>
      <c r="L142" s="3" t="n"/>
      <c r="M142" s="3" t="n">
        <v>1442</v>
      </c>
      <c r="N142" s="3" t="n">
        <v>0.515</v>
      </c>
      <c r="O142" s="3" t="n">
        <v>0.672</v>
      </c>
      <c r="P142" s="3" t="n">
        <v>0.452</v>
      </c>
      <c r="Q142" s="3" t="n">
        <v>0.603</v>
      </c>
      <c r="R142" s="3" t="n">
        <v>0.781</v>
      </c>
      <c r="S142" s="3" t="n"/>
      <c r="T142" s="3" t="n"/>
      <c r="U142" s="3" t="inlineStr">
        <is>
          <t>1.0</t>
        </is>
      </c>
      <c r="V142" s="3" t="inlineStr">
        <is>
          <t>MIT License</t>
        </is>
      </c>
      <c r="W142" s="3" t="n">
        <v>330</v>
      </c>
      <c r="X142" s="3" t="n">
        <v>0.333</v>
      </c>
      <c r="Y142" s="3" t="n">
        <v>825</v>
      </c>
      <c r="Z142" s="3" t="n">
        <v>-0.148</v>
      </c>
      <c r="AA142" s="3" t="n">
        <v>141</v>
      </c>
      <c r="AB142" s="3" t="n">
        <v>0.221</v>
      </c>
      <c r="AC142" s="3" t="n">
        <v>146</v>
      </c>
      <c r="AD142" s="3" t="n">
        <v>0.038</v>
      </c>
    </row>
    <row r="143" hidden="1">
      <c r="A143" s="3" t="inlineStr">
        <is>
          <t>PLM Pseudo-Perplexity</t>
        </is>
      </c>
      <c r="B143" s="3" t="inlineStr">
        <is>
          <t>model_type=amplify</t>
        </is>
      </c>
      <c r="C143" s="3" t="inlineStr">
        <is>
          <t>pseudo_perplexity</t>
        </is>
      </c>
      <c r="D143" s="3" t="inlineStr">
        <is>
          <t>Amplify Perplexity</t>
        </is>
      </c>
      <c r="E143" s="3" t="inlineStr">
        <is>
          <t>Thermostability (Tm1)</t>
        </is>
      </c>
      <c r="F143" s="3">
        <f>A143&amp;"|"&amp;B143&amp;"|"&amp;C143&amp;"|"&amp;D143&amp;"|"&amp;E143</f>
        <v/>
      </c>
      <c r="G143" s="3">
        <f>COUNTIF($F$2:$F$191,F143)</f>
        <v/>
      </c>
      <c r="H143" s="3" t="n">
        <v>-0.074</v>
      </c>
      <c r="I143" s="3">
        <f>_xlfn.MINIFS($H$2:$H$191,$F$2:$F$191,F143)</f>
        <v/>
      </c>
      <c r="J143" s="3">
        <f>_xlfn.MAXIFS($H$2:$H$191,$F$2:$F$191,F143)</f>
        <v/>
      </c>
      <c r="K143" s="3">
        <f>IF(G143=1,"",IF(I143=J143,"EXACT_DUP","MISMATCH"))</f>
        <v/>
      </c>
      <c r="L143" s="3" t="inlineStr">
        <is>
          <t>**</t>
        </is>
      </c>
      <c r="M143" s="3" t="n">
        <v>1568</v>
      </c>
      <c r="N143" s="3" t="n">
        <v>0.518</v>
      </c>
      <c r="O143" s="3" t="n">
        <v>0.616</v>
      </c>
      <c r="P143" s="3" t="n">
        <v>0.6840000000000001</v>
      </c>
      <c r="Q143" s="3" t="n">
        <v>0.506</v>
      </c>
      <c r="R143" s="3" t="n">
        <v>0.671</v>
      </c>
      <c r="S143" s="3" t="n"/>
      <c r="T143" s="3" t="n"/>
      <c r="U143" s="3" t="inlineStr">
        <is>
          <t>1.0</t>
        </is>
      </c>
      <c r="V143" s="3" t="inlineStr">
        <is>
          <t>MIT License</t>
        </is>
      </c>
      <c r="W143" s="3" t="n">
        <v>319</v>
      </c>
      <c r="X143" s="3" t="n">
        <v>-0.089</v>
      </c>
      <c r="Y143" s="3" t="n">
        <v>943</v>
      </c>
      <c r="Z143" s="3" t="n">
        <v>0.166</v>
      </c>
      <c r="AA143" s="3" t="n">
        <v>149</v>
      </c>
      <c r="AB143" s="3" t="n">
        <v>-0.285</v>
      </c>
      <c r="AC143" s="3" t="n">
        <v>157</v>
      </c>
      <c r="AD143" s="3" t="n">
        <v>-0.168</v>
      </c>
    </row>
    <row r="144" hidden="1">
      <c r="A144" s="3" t="inlineStr">
        <is>
          <t>PLM Pseudo-Perplexity</t>
        </is>
      </c>
      <c r="B144" s="3" t="inlineStr">
        <is>
          <t>model_type=amplify</t>
        </is>
      </c>
      <c r="C144" s="3" t="inlineStr">
        <is>
          <t>pseudo_perplexity</t>
        </is>
      </c>
      <c r="D144" s="3" t="inlineStr">
        <is>
          <t>Amplify Perplexity</t>
        </is>
      </c>
      <c r="E144" s="3" t="inlineStr">
        <is>
          <t>Thermostability (Tm2)</t>
        </is>
      </c>
      <c r="F144" s="3">
        <f>A144&amp;"|"&amp;B144&amp;"|"&amp;C144&amp;"|"&amp;D144&amp;"|"&amp;E144</f>
        <v/>
      </c>
      <c r="G144" s="3">
        <f>COUNTIF($F$2:$F$191,F144)</f>
        <v/>
      </c>
      <c r="H144" s="3" t="n">
        <v>-0.062</v>
      </c>
      <c r="I144" s="3">
        <f>_xlfn.MINIFS($H$2:$H$191,$F$2:$F$191,F144)</f>
        <v/>
      </c>
      <c r="J144" s="3">
        <f>_xlfn.MAXIFS($H$2:$H$191,$F$2:$F$191,F144)</f>
        <v/>
      </c>
      <c r="K144" s="3">
        <f>IF(G144=1,"",IF(I144=J144,"EXACT_DUP","MISMATCH"))</f>
        <v/>
      </c>
      <c r="L144" s="3" t="inlineStr">
        <is>
          <t>*</t>
        </is>
      </c>
      <c r="M144" s="3" t="n">
        <v>1196</v>
      </c>
      <c r="N144" s="3" t="n">
        <v>0.542</v>
      </c>
      <c r="O144" s="3" t="n">
        <v>0.669</v>
      </c>
      <c r="P144" s="3" t="n">
        <v>0.65</v>
      </c>
      <c r="Q144" s="3" t="n">
        <v>0.533</v>
      </c>
      <c r="R144" s="3" t="n">
        <v>0.75</v>
      </c>
      <c r="S144" s="3" t="n"/>
      <c r="T144" s="3" t="n"/>
      <c r="U144" s="3" t="inlineStr">
        <is>
          <t>1.0</t>
        </is>
      </c>
      <c r="V144" s="3" t="inlineStr">
        <is>
          <t>MIT License</t>
        </is>
      </c>
      <c r="W144" s="3" t="n">
        <v>287</v>
      </c>
      <c r="X144" s="3" t="n">
        <v>0.12</v>
      </c>
      <c r="Y144" s="3" t="n">
        <v>636</v>
      </c>
      <c r="Z144" s="3" t="n">
        <v>0.066</v>
      </c>
      <c r="AA144" s="3" t="n">
        <v>146</v>
      </c>
      <c r="AB144" s="3" t="n">
        <v>-0.271</v>
      </c>
      <c r="AC144" s="3" t="n">
        <v>127</v>
      </c>
      <c r="AD144" s="3" t="n">
        <v>-0.031</v>
      </c>
    </row>
    <row r="145" hidden="1">
      <c r="A145" s="3" t="inlineStr">
        <is>
          <t>PLM Pseudo-Perplexity</t>
        </is>
      </c>
      <c r="B145" s="3" t="inlineStr">
        <is>
          <t>model_type=amplify</t>
        </is>
      </c>
      <c r="C145" s="3" t="inlineStr">
        <is>
          <t>pseudo_perplexity</t>
        </is>
      </c>
      <c r="D145" s="3" t="inlineStr">
        <is>
          <t>Amplify Perplexity</t>
        </is>
      </c>
      <c r="E145" s="3" t="inlineStr">
        <is>
          <t>Thermostability (Tm3)</t>
        </is>
      </c>
      <c r="F145" s="3">
        <f>A145&amp;"|"&amp;B145&amp;"|"&amp;C145&amp;"|"&amp;D145&amp;"|"&amp;E145</f>
        <v/>
      </c>
      <c r="G145" s="3">
        <f>COUNTIF($F$2:$F$191,F145)</f>
        <v/>
      </c>
      <c r="H145" s="3" t="n">
        <v>-0.102</v>
      </c>
      <c r="I145" s="3">
        <f>_xlfn.MINIFS($H$2:$H$191,$F$2:$F$191,F145)</f>
        <v/>
      </c>
      <c r="J145" s="3">
        <f>_xlfn.MAXIFS($H$2:$H$191,$F$2:$F$191,F145)</f>
        <v/>
      </c>
      <c r="K145" s="3">
        <f>IF(G145=1,"",IF(I145=J145,"EXACT_DUP","MISMATCH"))</f>
        <v/>
      </c>
      <c r="L145" s="3" t="n"/>
      <c r="M145" s="3" t="n">
        <v>189</v>
      </c>
      <c r="N145" s="3" t="n">
        <v>0.626</v>
      </c>
      <c r="O145" s="3" t="n">
        <v>0.5659999999999999</v>
      </c>
      <c r="P145" s="3" t="n">
        <v>0.7</v>
      </c>
      <c r="Q145" s="3" t="n">
        <v>0.2</v>
      </c>
      <c r="R145" s="3" t="n">
        <v>0.7</v>
      </c>
      <c r="S145" s="3" t="n"/>
      <c r="T145" s="3" t="n"/>
      <c r="U145" s="3" t="inlineStr">
        <is>
          <t>1.0</t>
        </is>
      </c>
      <c r="V145" s="3" t="inlineStr">
        <is>
          <t>MIT License</t>
        </is>
      </c>
      <c r="W145" s="3" t="n">
        <v>84</v>
      </c>
      <c r="X145" s="3" t="n">
        <v>0.24</v>
      </c>
      <c r="Y145" s="3" t="n">
        <v>42</v>
      </c>
      <c r="Z145" s="3" t="n">
        <v>-0.08699999999999999</v>
      </c>
      <c r="AA145" s="3" t="n">
        <v>60</v>
      </c>
      <c r="AB145" s="3" t="n">
        <v>-0.257</v>
      </c>
      <c r="AC145" s="3" t="n">
        <v>3</v>
      </c>
      <c r="AD145" s="3" t="n">
        <v>1</v>
      </c>
    </row>
    <row r="146" hidden="1">
      <c r="A146" s="3" t="inlineStr">
        <is>
          <t>PLM Pseudo-Perplexity</t>
        </is>
      </c>
      <c r="B146" s="3" t="inlineStr">
        <is>
          <t>model_type=amplify</t>
        </is>
      </c>
      <c r="C146" s="3" t="inlineStr">
        <is>
          <t>pseudo_perplexity</t>
        </is>
      </c>
      <c r="D146" s="3" t="inlineStr">
        <is>
          <t>Amplify Perplexity</t>
        </is>
      </c>
      <c r="E146" s="3" t="inlineStr">
        <is>
          <t>Thermostability (onset)</t>
        </is>
      </c>
      <c r="F146" s="3">
        <f>A146&amp;"|"&amp;B146&amp;"|"&amp;C146&amp;"|"&amp;D146&amp;"|"&amp;E146</f>
        <v/>
      </c>
      <c r="G146" s="3">
        <f>COUNTIF($F$2:$F$191,F146)</f>
        <v/>
      </c>
      <c r="H146" s="3" t="n">
        <v>-0.091</v>
      </c>
      <c r="I146" s="3">
        <f>_xlfn.MINIFS($H$2:$H$191,$F$2:$F$191,F146)</f>
        <v/>
      </c>
      <c r="J146" s="3">
        <f>_xlfn.MAXIFS($H$2:$H$191,$F$2:$F$191,F146)</f>
        <v/>
      </c>
      <c r="K146" s="3">
        <f>IF(G146=1,"",IF(I146=J146,"EXACT_DUP","MISMATCH"))</f>
        <v/>
      </c>
      <c r="L146" s="3" t="inlineStr">
        <is>
          <t>***</t>
        </is>
      </c>
      <c r="M146" s="3" t="n">
        <v>1565</v>
      </c>
      <c r="N146" s="3" t="n">
        <v>0.548</v>
      </c>
      <c r="O146" s="3" t="n">
        <v>0.661</v>
      </c>
      <c r="P146" s="3" t="n">
        <v>0.709</v>
      </c>
      <c r="Q146" s="3" t="n">
        <v>0.518</v>
      </c>
      <c r="R146" s="3" t="n">
        <v>0.696</v>
      </c>
      <c r="S146" s="3" t="n"/>
      <c r="T146" s="3" t="n"/>
      <c r="U146" s="3" t="inlineStr">
        <is>
          <t>1.0</t>
        </is>
      </c>
      <c r="V146" s="3" t="inlineStr">
        <is>
          <t>MIT License</t>
        </is>
      </c>
      <c r="W146" s="3" t="n">
        <v>319</v>
      </c>
      <c r="X146" s="3" t="n">
        <v>-0.046</v>
      </c>
      <c r="Y146" s="3" t="n">
        <v>940</v>
      </c>
      <c r="Z146" s="3" t="n">
        <v>0.14</v>
      </c>
      <c r="AA146" s="3" t="n">
        <v>149</v>
      </c>
      <c r="AB146" s="3" t="n">
        <v>-0.363</v>
      </c>
      <c r="AC146" s="3" t="n">
        <v>157</v>
      </c>
      <c r="AD146" s="3" t="n">
        <v>-0.126</v>
      </c>
    </row>
    <row r="147" hidden="1">
      <c r="A147" s="3" t="inlineStr">
        <is>
          <t>PLM Pseudo-Perplexity</t>
        </is>
      </c>
      <c r="B147" s="3" t="inlineStr">
        <is>
          <t>model_type=amplify</t>
        </is>
      </c>
      <c r="C147" s="3" t="inlineStr">
        <is>
          <t>pseudo_perplexity</t>
        </is>
      </c>
      <c r="D147" s="3" t="inlineStr">
        <is>
          <t>Amplify Perplexity</t>
        </is>
      </c>
      <c r="E147" s="3" t="inlineStr">
        <is>
          <t>Titer</t>
        </is>
      </c>
      <c r="F147" s="3">
        <f>A147&amp;"|"&amp;B147&amp;"|"&amp;C147&amp;"|"&amp;D147&amp;"|"&amp;E147</f>
        <v/>
      </c>
      <c r="G147" s="3">
        <f>COUNTIF($F$2:$F$191,F147)</f>
        <v/>
      </c>
      <c r="H147" s="3" t="n">
        <v>-0.448</v>
      </c>
      <c r="I147" s="3">
        <f>_xlfn.MINIFS($H$2:$H$191,$F$2:$F$191,F147)</f>
        <v/>
      </c>
      <c r="J147" s="3">
        <f>_xlfn.MAXIFS($H$2:$H$191,$F$2:$F$191,F147)</f>
        <v/>
      </c>
      <c r="K147" s="3">
        <f>IF(G147=1,"",IF(I147=J147,"EXACT_DUP","MISMATCH"))</f>
        <v/>
      </c>
      <c r="L147" s="3" t="inlineStr">
        <is>
          <t>***</t>
        </is>
      </c>
      <c r="M147" s="3" t="n">
        <v>4671</v>
      </c>
      <c r="N147" s="3" t="n">
        <v>0.806</v>
      </c>
      <c r="O147" s="3" t="n">
        <v>0.649</v>
      </c>
      <c r="P147" s="3" t="n">
        <v>0.85</v>
      </c>
      <c r="Q147" s="3" t="n">
        <v>0.26</v>
      </c>
      <c r="R147" s="3" t="n">
        <v>0.35</v>
      </c>
      <c r="S147" s="3" t="n"/>
      <c r="T147" s="3" t="n"/>
      <c r="U147" s="3" t="inlineStr">
        <is>
          <t>1.0</t>
        </is>
      </c>
      <c r="V147" s="3" t="inlineStr">
        <is>
          <t>MIT License</t>
        </is>
      </c>
      <c r="W147" s="3" t="n">
        <v>658</v>
      </c>
      <c r="X147" s="3" t="n">
        <v>-0.663</v>
      </c>
      <c r="Y147" s="3" t="n">
        <v>3259</v>
      </c>
      <c r="Z147" s="3" t="n">
        <v>-0.501</v>
      </c>
      <c r="AA147" s="3" t="n">
        <v>290</v>
      </c>
      <c r="AB147" s="3" t="n">
        <v>-0.724</v>
      </c>
      <c r="AC147" s="3" t="n">
        <v>464</v>
      </c>
      <c r="AD147" s="3" t="n">
        <v>-0.72</v>
      </c>
    </row>
    <row r="148" hidden="1">
      <c r="A148" s="3" t="inlineStr">
        <is>
          <t>PLM Pseudo-Perplexity</t>
        </is>
      </c>
      <c r="B148" s="3" t="inlineStr">
        <is>
          <t>model_type=esm</t>
        </is>
      </c>
      <c r="C148" s="3" t="inlineStr">
        <is>
          <t>pseudo_perplexity</t>
        </is>
      </c>
      <c r="D148" s="3" t="inlineStr">
        <is>
          <t>ESM2 Perplexity</t>
        </is>
      </c>
      <c r="E148" s="3" t="inlineStr">
        <is>
          <t>Aggregation (Polydispersity idx)</t>
        </is>
      </c>
      <c r="F148" s="3">
        <f>A148&amp;"|"&amp;B148&amp;"|"&amp;C148&amp;"|"&amp;D148&amp;"|"&amp;E148</f>
        <v/>
      </c>
      <c r="G148" s="3">
        <f>COUNTIF($F$2:$F$191,F148)</f>
        <v/>
      </c>
      <c r="H148" s="3" t="n">
        <v>0.254</v>
      </c>
      <c r="I148" s="3">
        <f>_xlfn.MINIFS($H$2:$H$191,$F$2:$F$191,F148)</f>
        <v/>
      </c>
      <c r="J148" s="3">
        <f>_xlfn.MAXIFS($H$2:$H$191,$F$2:$F$191,F148)</f>
        <v/>
      </c>
      <c r="K148" s="3">
        <f>IF(G148=1,"",IF(I148=J148,"EXACT_DUP","MISMATCH"))</f>
        <v/>
      </c>
      <c r="L148" s="3" t="inlineStr">
        <is>
          <t>***</t>
        </is>
      </c>
      <c r="M148" s="3" t="n">
        <v>1435</v>
      </c>
      <c r="N148" s="3" t="n">
        <v>0.379</v>
      </c>
      <c r="O148" s="3" t="n">
        <v>0.6919999999999999</v>
      </c>
      <c r="P148" s="3" t="n">
        <v>0.583</v>
      </c>
      <c r="Q148" s="3" t="n">
        <v>0.694</v>
      </c>
      <c r="R148" s="3" t="n">
        <v>0.834</v>
      </c>
      <c r="S148" s="3" t="n"/>
      <c r="T148" s="3" t="n"/>
      <c r="U148" s="3" t="inlineStr">
        <is>
          <t>1.0</t>
        </is>
      </c>
      <c r="V148" s="3" t="inlineStr">
        <is>
          <t>MIT License</t>
        </is>
      </c>
      <c r="W148" s="3" t="n">
        <v>329</v>
      </c>
      <c r="X148" s="3" t="n">
        <v>0.185</v>
      </c>
      <c r="Y148" s="3" t="n">
        <v>822</v>
      </c>
      <c r="Z148" s="3" t="n">
        <v>0.219</v>
      </c>
      <c r="AA148" s="3" t="n">
        <v>139</v>
      </c>
      <c r="AB148" s="3" t="n">
        <v>0.483</v>
      </c>
      <c r="AC148" s="3" t="n">
        <v>145</v>
      </c>
      <c r="AD148" s="3" t="n">
        <v>0.212</v>
      </c>
    </row>
    <row r="149" hidden="1">
      <c r="A149" s="3" t="inlineStr">
        <is>
          <t>PLM Pseudo-Perplexity</t>
        </is>
      </c>
      <c r="B149" s="3" t="inlineStr">
        <is>
          <t>model_type=esm</t>
        </is>
      </c>
      <c r="C149" s="3" t="inlineStr">
        <is>
          <t>pseudo_perplexity</t>
        </is>
      </c>
      <c r="D149" s="3" t="inlineStr">
        <is>
          <t>ESM2 Perplexity</t>
        </is>
      </c>
      <c r="E149" s="3" t="inlineStr">
        <is>
          <t>Analytical Size Exclusion Chromatography</t>
        </is>
      </c>
      <c r="F149" s="3">
        <f>A149&amp;"|"&amp;B149&amp;"|"&amp;C149&amp;"|"&amp;D149&amp;"|"&amp;E149</f>
        <v/>
      </c>
      <c r="G149" s="3">
        <f>COUNTIF($F$2:$F$191,F149)</f>
        <v/>
      </c>
      <c r="H149" s="3" t="n">
        <v>0.11</v>
      </c>
      <c r="I149" s="3">
        <f>_xlfn.MINIFS($H$2:$H$191,$F$2:$F$191,F149)</f>
        <v/>
      </c>
      <c r="J149" s="3">
        <f>_xlfn.MAXIFS($H$2:$H$191,$F$2:$F$191,F149)</f>
        <v/>
      </c>
      <c r="K149" s="3">
        <f>IF(G149=1,"",IF(I149=J149,"EXACT_DUP","MISMATCH"))</f>
        <v/>
      </c>
      <c r="L149" s="3" t="inlineStr">
        <is>
          <t>***</t>
        </is>
      </c>
      <c r="M149" s="3" t="n">
        <v>1611</v>
      </c>
      <c r="N149" s="3" t="n">
        <v>0.453</v>
      </c>
      <c r="O149" s="3" t="n">
        <v>0.578</v>
      </c>
      <c r="P149" s="3" t="n">
        <v>0.605</v>
      </c>
      <c r="Q149" s="3" t="n">
        <v>0.518</v>
      </c>
      <c r="R149" s="3" t="n">
        <v>0.6909999999999999</v>
      </c>
      <c r="S149" s="3" t="n"/>
      <c r="T149" s="3" t="n"/>
      <c r="U149" s="3" t="inlineStr">
        <is>
          <t>1.0</t>
        </is>
      </c>
      <c r="V149" s="3" t="inlineStr">
        <is>
          <t>MIT License</t>
        </is>
      </c>
      <c r="W149" s="3" t="n">
        <v>353</v>
      </c>
      <c r="X149" s="3" t="n">
        <v>-0.102</v>
      </c>
      <c r="Y149" s="3" t="n">
        <v>938</v>
      </c>
      <c r="Z149" s="3" t="n">
        <v>0.101</v>
      </c>
      <c r="AA149" s="3" t="n">
        <v>156</v>
      </c>
      <c r="AB149" s="3" t="n">
        <v>-0.454</v>
      </c>
      <c r="AC149" s="3" t="n">
        <v>164</v>
      </c>
      <c r="AD149" s="3" t="n">
        <v>-0.089</v>
      </c>
    </row>
    <row r="150" hidden="1">
      <c r="A150" s="3" t="inlineStr">
        <is>
          <t>PLM Pseudo-Perplexity</t>
        </is>
      </c>
      <c r="B150" s="3" t="inlineStr">
        <is>
          <t>model_type=esm</t>
        </is>
      </c>
      <c r="C150" s="3" t="inlineStr">
        <is>
          <t>pseudo_perplexity</t>
        </is>
      </c>
      <c r="D150" s="3" t="inlineStr">
        <is>
          <t>ESM2 Perplexity</t>
        </is>
      </c>
      <c r="E150" s="3" t="inlineStr">
        <is>
          <t>Hydrophobicity</t>
        </is>
      </c>
      <c r="F150" s="3">
        <f>A150&amp;"|"&amp;B150&amp;"|"&amp;C150&amp;"|"&amp;D150&amp;"|"&amp;E150</f>
        <v/>
      </c>
      <c r="G150" s="3">
        <f>COUNTIF($F$2:$F$191,F150)</f>
        <v/>
      </c>
      <c r="H150" s="3" t="n">
        <v>0.289</v>
      </c>
      <c r="I150" s="3">
        <f>_xlfn.MINIFS($H$2:$H$191,$F$2:$F$191,F150)</f>
        <v/>
      </c>
      <c r="J150" s="3">
        <f>_xlfn.MAXIFS($H$2:$H$191,$F$2:$F$191,F150)</f>
        <v/>
      </c>
      <c r="K150" s="3">
        <f>IF(G150=1,"",IF(I150=J150,"EXACT_DUP","MISMATCH"))</f>
        <v/>
      </c>
      <c r="L150" s="3" t="inlineStr">
        <is>
          <t>***</t>
        </is>
      </c>
      <c r="M150" s="3" t="n">
        <v>1442</v>
      </c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1.0</t>
        </is>
      </c>
      <c r="V150" s="3" t="inlineStr">
        <is>
          <t>MIT License</t>
        </is>
      </c>
      <c r="W150" s="3" t="n">
        <v>330</v>
      </c>
      <c r="X150" s="3" t="n">
        <v>0.131</v>
      </c>
      <c r="Y150" s="3" t="n">
        <v>825</v>
      </c>
      <c r="Z150" s="3" t="n">
        <v>0.174</v>
      </c>
      <c r="AA150" s="3" t="n">
        <v>141</v>
      </c>
      <c r="AB150" s="3" t="n">
        <v>0.272</v>
      </c>
      <c r="AC150" s="3" t="n">
        <v>146</v>
      </c>
      <c r="AD150" s="3" t="n">
        <v>0.472</v>
      </c>
    </row>
    <row r="151" hidden="1">
      <c r="A151" s="3" t="inlineStr">
        <is>
          <t>PLM Pseudo-Perplexity</t>
        </is>
      </c>
      <c r="B151" s="3" t="inlineStr">
        <is>
          <t>model_type=esm</t>
        </is>
      </c>
      <c r="C151" s="3" t="inlineStr">
        <is>
          <t>pseudo_perplexity</t>
        </is>
      </c>
      <c r="D151" s="3" t="inlineStr">
        <is>
          <t>ESM2 Perplexity</t>
        </is>
      </c>
      <c r="E151" s="3" t="inlineStr">
        <is>
          <t>Polyreactivity (absorbance)</t>
        </is>
      </c>
      <c r="F151" s="3">
        <f>A151&amp;"|"&amp;B151&amp;"|"&amp;C151&amp;"|"&amp;D151&amp;"|"&amp;E151</f>
        <v/>
      </c>
      <c r="G151" s="3">
        <f>COUNTIF($F$2:$F$191,F151)</f>
        <v/>
      </c>
      <c r="H151" s="3" t="n">
        <v>-0.012</v>
      </c>
      <c r="I151" s="3">
        <f>_xlfn.MINIFS($H$2:$H$191,$F$2:$F$191,F151)</f>
        <v/>
      </c>
      <c r="J151" s="3">
        <f>_xlfn.MAXIFS($H$2:$H$191,$F$2:$F$191,F151)</f>
        <v/>
      </c>
      <c r="K151" s="3">
        <f>IF(G151=1,"",IF(I151=J151,"EXACT_DUP","MISMATCH"))</f>
        <v/>
      </c>
      <c r="L151" s="3" t="n"/>
      <c r="M151" s="3" t="n">
        <v>1442</v>
      </c>
      <c r="N151" s="3" t="n">
        <v>0.491</v>
      </c>
      <c r="O151" s="3" t="n">
        <v>0.66</v>
      </c>
      <c r="P151" s="3" t="n">
        <v>0.397</v>
      </c>
      <c r="Q151" s="3" t="n">
        <v>0.616</v>
      </c>
      <c r="R151" s="3" t="n">
        <v>0.781</v>
      </c>
      <c r="S151" s="3" t="n"/>
      <c r="T151" s="3" t="n"/>
      <c r="U151" s="3" t="inlineStr">
        <is>
          <t>1.0</t>
        </is>
      </c>
      <c r="V151" s="3" t="inlineStr">
        <is>
          <t>MIT License</t>
        </is>
      </c>
      <c r="W151" s="3" t="n">
        <v>330</v>
      </c>
      <c r="X151" s="3" t="n">
        <v>0.38</v>
      </c>
      <c r="Y151" s="3" t="n">
        <v>825</v>
      </c>
      <c r="Z151" s="3" t="n">
        <v>-0.082</v>
      </c>
      <c r="AA151" s="3" t="n">
        <v>141</v>
      </c>
      <c r="AB151" s="3" t="n">
        <v>0.366</v>
      </c>
      <c r="AC151" s="3" t="n">
        <v>146</v>
      </c>
      <c r="AD151" s="3" t="n">
        <v>0.081</v>
      </c>
    </row>
    <row r="152" hidden="1">
      <c r="A152" s="3" t="inlineStr">
        <is>
          <t>PLM Pseudo-Perplexity</t>
        </is>
      </c>
      <c r="B152" s="3" t="inlineStr">
        <is>
          <t>model_type=esm</t>
        </is>
      </c>
      <c r="C152" s="3" t="inlineStr">
        <is>
          <t>pseudo_perplexity</t>
        </is>
      </c>
      <c r="D152" s="3" t="inlineStr">
        <is>
          <t>ESM2 Perplexity</t>
        </is>
      </c>
      <c r="E152" s="3" t="inlineStr">
        <is>
          <t>Thermostability (Tm1)</t>
        </is>
      </c>
      <c r="F152" s="3">
        <f>A152&amp;"|"&amp;B152&amp;"|"&amp;C152&amp;"|"&amp;D152&amp;"|"&amp;E152</f>
        <v/>
      </c>
      <c r="G152" s="3">
        <f>COUNTIF($F$2:$F$191,F152)</f>
        <v/>
      </c>
      <c r="H152" s="3" t="n">
        <v>-0.148</v>
      </c>
      <c r="I152" s="3">
        <f>_xlfn.MINIFS($H$2:$H$191,$F$2:$F$191,F152)</f>
        <v/>
      </c>
      <c r="J152" s="3">
        <f>_xlfn.MAXIFS($H$2:$H$191,$F$2:$F$191,F152)</f>
        <v/>
      </c>
      <c r="K152" s="3">
        <f>IF(G152=1,"",IF(I152=J152,"EXACT_DUP","MISMATCH"))</f>
        <v/>
      </c>
      <c r="L152" s="3" t="inlineStr">
        <is>
          <t>***</t>
        </is>
      </c>
      <c r="M152" s="3" t="n">
        <v>1568</v>
      </c>
      <c r="N152" s="3" t="n">
        <v>0.5570000000000001</v>
      </c>
      <c r="O152" s="3" t="n">
        <v>0.64</v>
      </c>
      <c r="P152" s="3" t="n">
        <v>0.759</v>
      </c>
      <c r="Q152" s="3" t="n">
        <v>0.481</v>
      </c>
      <c r="R152" s="3" t="n">
        <v>0.672</v>
      </c>
      <c r="S152" s="3" t="n"/>
      <c r="T152" s="3" t="n"/>
      <c r="U152" s="3" t="inlineStr">
        <is>
          <t>1.0</t>
        </is>
      </c>
      <c r="V152" s="3" t="inlineStr">
        <is>
          <t>MIT License</t>
        </is>
      </c>
      <c r="W152" s="3" t="n">
        <v>319</v>
      </c>
      <c r="X152" s="3" t="n">
        <v>0.064</v>
      </c>
      <c r="Y152" s="3" t="n">
        <v>943</v>
      </c>
      <c r="Z152" s="3" t="n">
        <v>-0.148</v>
      </c>
      <c r="AA152" s="3" t="n">
        <v>149</v>
      </c>
      <c r="AB152" s="3" t="n">
        <v>-0.493</v>
      </c>
      <c r="AC152" s="3" t="n">
        <v>157</v>
      </c>
      <c r="AD152" s="3" t="n">
        <v>-0.024</v>
      </c>
    </row>
    <row r="153" hidden="1">
      <c r="A153" s="3" t="inlineStr">
        <is>
          <t>PLM Pseudo-Perplexity</t>
        </is>
      </c>
      <c r="B153" s="3" t="inlineStr">
        <is>
          <t>model_type=esm</t>
        </is>
      </c>
      <c r="C153" s="3" t="inlineStr">
        <is>
          <t>pseudo_perplexity</t>
        </is>
      </c>
      <c r="D153" s="3" t="inlineStr">
        <is>
          <t>ESM2 Perplexity</t>
        </is>
      </c>
      <c r="E153" s="3" t="inlineStr">
        <is>
          <t>Thermostability (Tm2)</t>
        </is>
      </c>
      <c r="F153" s="3">
        <f>A153&amp;"|"&amp;B153&amp;"|"&amp;C153&amp;"|"&amp;D153&amp;"|"&amp;E153</f>
        <v/>
      </c>
      <c r="G153" s="3">
        <f>COUNTIF($F$2:$F$191,F153)</f>
        <v/>
      </c>
      <c r="H153" s="3" t="n">
        <v>-0.104</v>
      </c>
      <c r="I153" s="3">
        <f>_xlfn.MINIFS($H$2:$H$191,$F$2:$F$191,F153)</f>
        <v/>
      </c>
      <c r="J153" s="3">
        <f>_xlfn.MAXIFS($H$2:$H$191,$F$2:$F$191,F153)</f>
        <v/>
      </c>
      <c r="K153" s="3">
        <f>IF(G153=1,"",IF(I153=J153,"EXACT_DUP","MISMATCH"))</f>
        <v/>
      </c>
      <c r="L153" s="3" t="inlineStr">
        <is>
          <t>***</t>
        </is>
      </c>
      <c r="M153" s="3" t="n">
        <v>1196</v>
      </c>
      <c r="N153" s="3" t="n">
        <v>0.555</v>
      </c>
      <c r="O153" s="3" t="n">
        <v>0.672</v>
      </c>
      <c r="P153" s="3" t="n">
        <v>0.667</v>
      </c>
      <c r="Q153" s="3" t="n">
        <v>0.533</v>
      </c>
      <c r="R153" s="3" t="n">
        <v>0.717</v>
      </c>
      <c r="S153" s="3" t="n"/>
      <c r="T153" s="3" t="n"/>
      <c r="U153" s="3" t="inlineStr">
        <is>
          <t>1.0</t>
        </is>
      </c>
      <c r="V153" s="3" t="inlineStr">
        <is>
          <t>MIT License</t>
        </is>
      </c>
      <c r="W153" s="3" t="n">
        <v>287</v>
      </c>
      <c r="X153" s="3" t="n">
        <v>0.225</v>
      </c>
      <c r="Y153" s="3" t="n">
        <v>636</v>
      </c>
      <c r="Z153" s="3" t="n">
        <v>-0.136</v>
      </c>
      <c r="AA153" s="3" t="n">
        <v>146</v>
      </c>
      <c r="AB153" s="3" t="n">
        <v>-0.497</v>
      </c>
      <c r="AC153" s="3" t="n">
        <v>127</v>
      </c>
      <c r="AD153" s="3" t="n">
        <v>0.06</v>
      </c>
    </row>
    <row r="154" hidden="1">
      <c r="A154" s="3" t="inlineStr">
        <is>
          <t>PLM Pseudo-Perplexity</t>
        </is>
      </c>
      <c r="B154" s="3" t="inlineStr">
        <is>
          <t>model_type=esm</t>
        </is>
      </c>
      <c r="C154" s="3" t="inlineStr">
        <is>
          <t>pseudo_perplexity</t>
        </is>
      </c>
      <c r="D154" s="3" t="inlineStr">
        <is>
          <t>ESM2 Perplexity</t>
        </is>
      </c>
      <c r="E154" s="3" t="inlineStr">
        <is>
          <t>Thermostability (Tm3)</t>
        </is>
      </c>
      <c r="F154" s="3">
        <f>A154&amp;"|"&amp;B154&amp;"|"&amp;C154&amp;"|"&amp;D154&amp;"|"&amp;E154</f>
        <v/>
      </c>
      <c r="G154" s="3">
        <f>COUNTIF($F$2:$F$191,F154)</f>
        <v/>
      </c>
      <c r="H154" s="3" t="n">
        <v>-0.245</v>
      </c>
      <c r="I154" s="3">
        <f>_xlfn.MINIFS($H$2:$H$191,$F$2:$F$191,F154)</f>
        <v/>
      </c>
      <c r="J154" s="3">
        <f>_xlfn.MAXIFS($H$2:$H$191,$F$2:$F$191,F154)</f>
        <v/>
      </c>
      <c r="K154" s="3">
        <f>IF(G154=1,"",IF(I154=J154,"EXACT_DUP","MISMATCH"))</f>
        <v/>
      </c>
      <c r="L154" s="3" t="inlineStr">
        <is>
          <t>***</t>
        </is>
      </c>
      <c r="M154" s="3" t="n">
        <v>189</v>
      </c>
      <c r="N154" s="3" t="n">
        <v>0.664</v>
      </c>
      <c r="O154" s="3" t="n">
        <v>0.649</v>
      </c>
      <c r="P154" s="3" t="n">
        <v>0.9</v>
      </c>
      <c r="Q154" s="3" t="n">
        <v>0.195</v>
      </c>
      <c r="R154" s="3" t="n">
        <v>0.7</v>
      </c>
      <c r="S154" s="3" t="n"/>
      <c r="T154" s="3" t="n"/>
      <c r="U154" s="3" t="inlineStr">
        <is>
          <t>1.0</t>
        </is>
      </c>
      <c r="V154" s="3" t="inlineStr">
        <is>
          <t>MIT License</t>
        </is>
      </c>
      <c r="W154" s="3" t="n">
        <v>84</v>
      </c>
      <c r="X154" s="3" t="n">
        <v>0.197</v>
      </c>
      <c r="Y154" s="3" t="n">
        <v>42</v>
      </c>
      <c r="Z154" s="3" t="n">
        <v>-0.527</v>
      </c>
      <c r="AA154" s="3" t="n">
        <v>60</v>
      </c>
      <c r="AB154" s="3" t="n">
        <v>-0.443</v>
      </c>
      <c r="AC154" s="3" t="n">
        <v>3</v>
      </c>
      <c r="AD154" s="3" t="n">
        <v>0.5</v>
      </c>
    </row>
    <row r="155" hidden="1">
      <c r="A155" s="3" t="inlineStr">
        <is>
          <t>PLM Pseudo-Perplexity</t>
        </is>
      </c>
      <c r="B155" s="3" t="inlineStr">
        <is>
          <t>model_type=esm</t>
        </is>
      </c>
      <c r="C155" s="3" t="inlineStr">
        <is>
          <t>pseudo_perplexity</t>
        </is>
      </c>
      <c r="D155" s="3" t="inlineStr">
        <is>
          <t>ESM2 Perplexity</t>
        </is>
      </c>
      <c r="E155" s="3" t="inlineStr">
        <is>
          <t>Thermostability (onset)</t>
        </is>
      </c>
      <c r="F155" s="3">
        <f>A155&amp;"|"&amp;B155&amp;"|"&amp;C155&amp;"|"&amp;D155&amp;"|"&amp;E155</f>
        <v/>
      </c>
      <c r="G155" s="3">
        <f>COUNTIF($F$2:$F$191,F155)</f>
        <v/>
      </c>
      <c r="H155" s="3" t="n">
        <v>-0.151</v>
      </c>
      <c r="I155" s="3">
        <f>_xlfn.MINIFS($H$2:$H$191,$F$2:$F$191,F155)</f>
        <v/>
      </c>
      <c r="J155" s="3">
        <f>_xlfn.MAXIFS($H$2:$H$191,$F$2:$F$191,F155)</f>
        <v/>
      </c>
      <c r="K155" s="3">
        <f>IF(G155=1,"",IF(I155=J155,"EXACT_DUP","MISMATCH"))</f>
        <v/>
      </c>
      <c r="L155" s="3" t="inlineStr">
        <is>
          <t>***</t>
        </is>
      </c>
      <c r="M155" s="3" t="n">
        <v>1565</v>
      </c>
      <c r="N155" s="3" t="n">
        <v>0.588</v>
      </c>
      <c r="O155" s="3" t="n">
        <v>0.6840000000000001</v>
      </c>
      <c r="P155" s="3" t="n">
        <v>0.772</v>
      </c>
      <c r="Q155" s="3" t="n">
        <v>0.532</v>
      </c>
      <c r="R155" s="3" t="n">
        <v>0.696</v>
      </c>
      <c r="S155" s="3" t="n"/>
      <c r="T155" s="3" t="n"/>
      <c r="U155" s="3" t="inlineStr">
        <is>
          <t>1.0</t>
        </is>
      </c>
      <c r="V155" s="3" t="inlineStr">
        <is>
          <t>MIT License</t>
        </is>
      </c>
      <c r="W155" s="3" t="n">
        <v>319</v>
      </c>
      <c r="X155" s="3" t="n">
        <v>0.046</v>
      </c>
      <c r="Y155" s="3" t="n">
        <v>940</v>
      </c>
      <c r="Z155" s="3" t="n">
        <v>-0.139</v>
      </c>
      <c r="AA155" s="3" t="n">
        <v>149</v>
      </c>
      <c r="AB155" s="3" t="n">
        <v>-0.556</v>
      </c>
      <c r="AC155" s="3" t="n">
        <v>157</v>
      </c>
      <c r="AD155" s="3" t="n">
        <v>-0.02</v>
      </c>
    </row>
    <row r="156" hidden="1">
      <c r="A156" s="3" t="inlineStr">
        <is>
          <t>PLM Pseudo-Perplexity</t>
        </is>
      </c>
      <c r="B156" s="3" t="inlineStr">
        <is>
          <t>model_type=esm</t>
        </is>
      </c>
      <c r="C156" s="3" t="inlineStr">
        <is>
          <t>pseudo_perplexity</t>
        </is>
      </c>
      <c r="D156" s="3" t="inlineStr">
        <is>
          <t>ESM2 Perplexity</t>
        </is>
      </c>
      <c r="E156" s="3" t="inlineStr">
        <is>
          <t>Titer</t>
        </is>
      </c>
      <c r="F156" s="3">
        <f>A156&amp;"|"&amp;B156&amp;"|"&amp;C156&amp;"|"&amp;D156&amp;"|"&amp;E156</f>
        <v/>
      </c>
      <c r="G156" s="3">
        <f>COUNTIF($F$2:$F$191,F156)</f>
        <v/>
      </c>
      <c r="H156" s="3" t="n">
        <v>-0.541</v>
      </c>
      <c r="I156" s="3">
        <f>_xlfn.MINIFS($H$2:$H$191,$F$2:$F$191,F156)</f>
        <v/>
      </c>
      <c r="J156" s="3">
        <f>_xlfn.MAXIFS($H$2:$H$191,$F$2:$F$191,F156)</f>
        <v/>
      </c>
      <c r="K156" s="3">
        <f>IF(G156=1,"",IF(I156=J156,"EXACT_DUP","MISMATCH"))</f>
        <v/>
      </c>
      <c r="L156" s="3" t="inlineStr">
        <is>
          <t>***</t>
        </is>
      </c>
      <c r="M156" s="3" t="n">
        <v>4671</v>
      </c>
      <c r="N156" s="3" t="n">
        <v>0.867</v>
      </c>
      <c r="O156" s="3" t="n">
        <v>0.753</v>
      </c>
      <c r="P156" s="3" t="n">
        <v>0.902</v>
      </c>
      <c r="Q156" s="3" t="n">
        <v>0.273</v>
      </c>
      <c r="R156" s="3" t="n">
        <v>0.363</v>
      </c>
      <c r="S156" s="3" t="n"/>
      <c r="T156" s="3" t="n"/>
      <c r="U156" s="3" t="inlineStr">
        <is>
          <t>1.0</t>
        </is>
      </c>
      <c r="V156" s="3" t="inlineStr">
        <is>
          <t>MIT License</t>
        </is>
      </c>
      <c r="W156" s="3" t="n">
        <v>658</v>
      </c>
      <c r="X156" s="3" t="n">
        <v>-0.631</v>
      </c>
      <c r="Y156" s="3" t="n">
        <v>3259</v>
      </c>
      <c r="Z156" s="3" t="n">
        <v>-0.543</v>
      </c>
      <c r="AA156" s="3" t="n">
        <v>290</v>
      </c>
      <c r="AB156" s="3" t="n">
        <v>-0.785</v>
      </c>
      <c r="AC156" s="3" t="n">
        <v>464</v>
      </c>
      <c r="AD156" s="3" t="n">
        <v>-0.711</v>
      </c>
    </row>
    <row r="157" hidden="1">
      <c r="A157" s="3" t="inlineStr">
        <is>
          <t>TNP</t>
        </is>
      </c>
      <c r="B157" s="3" t="inlineStr">
        <is>
          <t>"hscale": 0=Kyte and Doolittle</t>
        </is>
      </c>
      <c r="C157" s="3" t="inlineStr">
        <is>
          <t>PNC</t>
        </is>
      </c>
      <c r="D157" s="3" t="inlineStr">
        <is>
          <t>TNP Patches of Negative Charge (CDR-vicinity)</t>
        </is>
      </c>
      <c r="E157" s="3" t="inlineStr">
        <is>
          <t>Aggregation (Polydispersity idx)</t>
        </is>
      </c>
      <c r="F157" s="3">
        <f>A157&amp;"|"&amp;B157&amp;"|"&amp;C157&amp;"|"&amp;D157&amp;"|"&amp;E157</f>
        <v/>
      </c>
      <c r="G157" s="3">
        <f>COUNTIF($F$2:$F$191,F157)</f>
        <v/>
      </c>
      <c r="H157" s="3" t="n">
        <v>-0.001</v>
      </c>
      <c r="I157" s="3">
        <f>_xlfn.MINIFS($H$2:$H$191,$F$2:$F$191,F157)</f>
        <v/>
      </c>
      <c r="J157" s="3">
        <f>_xlfn.MAXIFS($H$2:$H$191,$F$2:$F$191,F157)</f>
        <v/>
      </c>
      <c r="K157" s="3">
        <f>IF(G157=1,"",IF(I157=J157,"EXACT_DUP","MISMATCH"))</f>
        <v/>
      </c>
      <c r="L157" s="3" t="n"/>
      <c r="M157" s="3" t="n">
        <v>1287</v>
      </c>
      <c r="N157" s="3" t="n">
        <v>0.505</v>
      </c>
      <c r="O157" s="3" t="n">
        <v>0.77</v>
      </c>
      <c r="P157" s="3" t="n">
        <v>0.738</v>
      </c>
      <c r="Q157" s="3" t="n">
        <v>0.6919999999999999</v>
      </c>
      <c r="R157" s="3" t="n">
        <v>0.831</v>
      </c>
      <c r="S157" s="3" t="n"/>
      <c r="T157" s="3" t="n"/>
      <c r="U157" s="3" t="inlineStr">
        <is>
          <t>1.0</t>
        </is>
      </c>
      <c r="V157" s="3" t="inlineStr">
        <is>
          <t>BSD 3-Clause License</t>
        </is>
      </c>
      <c r="W157" s="3" t="n">
        <v>313</v>
      </c>
      <c r="X157" s="3" t="n">
        <v>-0.219</v>
      </c>
      <c r="Y157" s="3" t="n">
        <v>720</v>
      </c>
      <c r="Z157" s="3" t="n">
        <v>0.036</v>
      </c>
      <c r="AA157" s="3" t="n">
        <v>120</v>
      </c>
      <c r="AB157" s="3" t="n">
        <v>0.068</v>
      </c>
      <c r="AC157" s="3" t="n">
        <v>134</v>
      </c>
      <c r="AD157" s="3" t="n">
        <v>0.017</v>
      </c>
    </row>
    <row r="158" hidden="1">
      <c r="A158" s="3" t="inlineStr">
        <is>
          <t>TNP</t>
        </is>
      </c>
      <c r="B158" s="3" t="inlineStr">
        <is>
          <t>"hscale": 0=Kyte and Doolittle</t>
        </is>
      </c>
      <c r="C158" s="3" t="inlineStr">
        <is>
          <t>PNC</t>
        </is>
      </c>
      <c r="D158" s="3" t="inlineStr">
        <is>
          <t>TNP Patches of Negative Charge (CDR-vicinity)</t>
        </is>
      </c>
      <c r="E158" s="3" t="inlineStr">
        <is>
          <t>Analytical Size Exclusion Chromatography</t>
        </is>
      </c>
      <c r="F158" s="3">
        <f>A158&amp;"|"&amp;B158&amp;"|"&amp;C158&amp;"|"&amp;D158&amp;"|"&amp;E158</f>
        <v/>
      </c>
      <c r="G158" s="3">
        <f>COUNTIF($F$2:$F$191,F158)</f>
        <v/>
      </c>
      <c r="H158" s="3" t="n">
        <v>-0.026</v>
      </c>
      <c r="I158" s="3">
        <f>_xlfn.MINIFS($H$2:$H$191,$F$2:$F$191,F158)</f>
        <v/>
      </c>
      <c r="J158" s="3">
        <f>_xlfn.MAXIFS($H$2:$H$191,$F$2:$F$191,F158)</f>
        <v/>
      </c>
      <c r="K158" s="3">
        <f>IF(G158=1,"",IF(I158=J158,"EXACT_DUP","MISMATCH"))</f>
        <v/>
      </c>
      <c r="L158" s="3" t="n"/>
      <c r="M158" s="3" t="n">
        <v>1447</v>
      </c>
      <c r="N158" s="3" t="n">
        <v>0.466</v>
      </c>
      <c r="O158" s="3" t="n">
        <v>0.574</v>
      </c>
      <c r="P158" s="3" t="n">
        <v>0.356</v>
      </c>
      <c r="Q158" s="3" t="n">
        <v>0.507</v>
      </c>
      <c r="R158" s="3" t="n">
        <v>0.6850000000000001</v>
      </c>
      <c r="S158" s="3" t="n"/>
      <c r="T158" s="3" t="n"/>
      <c r="U158" s="3" t="inlineStr">
        <is>
          <t>1.0</t>
        </is>
      </c>
      <c r="V158" s="3" t="inlineStr">
        <is>
          <t>BSD 3-Clause License</t>
        </is>
      </c>
      <c r="W158" s="3" t="n">
        <v>336</v>
      </c>
      <c r="X158" s="3" t="n">
        <v>0.177</v>
      </c>
      <c r="Y158" s="3" t="n">
        <v>823</v>
      </c>
      <c r="Z158" s="3" t="n">
        <v>-0.102</v>
      </c>
      <c r="AA158" s="3" t="n">
        <v>137</v>
      </c>
      <c r="AB158" s="3" t="n">
        <v>0.091</v>
      </c>
      <c r="AC158" s="3" t="n">
        <v>151</v>
      </c>
      <c r="AD158" s="3" t="n">
        <v>0.124</v>
      </c>
    </row>
    <row r="159" hidden="1">
      <c r="A159" s="3" t="inlineStr">
        <is>
          <t>TNP</t>
        </is>
      </c>
      <c r="B159" s="3" t="inlineStr">
        <is>
          <t>"hscale": 0=Kyte and Doolittle</t>
        </is>
      </c>
      <c r="C159" s="3" t="inlineStr">
        <is>
          <t>PNC</t>
        </is>
      </c>
      <c r="D159" s="3" t="inlineStr">
        <is>
          <t>TNP Patches of Negative Charge (CDR-vicinity)</t>
        </is>
      </c>
      <c r="E159" s="3" t="inlineStr">
        <is>
          <t>Hydrophobicity</t>
        </is>
      </c>
      <c r="F159" s="3">
        <f>A159&amp;"|"&amp;B159&amp;"|"&amp;C159&amp;"|"&amp;D159&amp;"|"&amp;E159</f>
        <v/>
      </c>
      <c r="G159" s="3">
        <f>COUNTIF($F$2:$F$191,F159)</f>
        <v/>
      </c>
      <c r="H159" s="3" t="n">
        <v>-0.096</v>
      </c>
      <c r="I159" s="3">
        <f>_xlfn.MINIFS($H$2:$H$191,$F$2:$F$191,F159)</f>
        <v/>
      </c>
      <c r="J159" s="3">
        <f>_xlfn.MAXIFS($H$2:$H$191,$F$2:$F$191,F159)</f>
        <v/>
      </c>
      <c r="K159" s="3">
        <f>IF(G159=1,"",IF(I159=J159,"EXACT_DUP","MISMATCH"))</f>
        <v/>
      </c>
      <c r="L159" s="3" t="inlineStr">
        <is>
          <t>***</t>
        </is>
      </c>
      <c r="M159" s="3" t="n">
        <v>1294</v>
      </c>
      <c r="N159" s="3" t="n"/>
      <c r="O159" s="3" t="n"/>
      <c r="P159" s="3" t="n"/>
      <c r="Q159" s="3" t="n"/>
      <c r="R159" s="3" t="n"/>
      <c r="S159" s="3" t="n"/>
      <c r="T159" s="3" t="n"/>
      <c r="U159" s="3" t="inlineStr">
        <is>
          <t>1.0</t>
        </is>
      </c>
      <c r="V159" s="3" t="inlineStr">
        <is>
          <t>BSD 3-Clause License</t>
        </is>
      </c>
      <c r="W159" s="3" t="n">
        <v>314</v>
      </c>
      <c r="X159" s="3" t="n">
        <v>-0.208</v>
      </c>
      <c r="Y159" s="3" t="n">
        <v>723</v>
      </c>
      <c r="Z159" s="3" t="n">
        <v>-0.064</v>
      </c>
      <c r="AA159" s="3" t="n">
        <v>122</v>
      </c>
      <c r="AB159" s="3" t="n">
        <v>0.173</v>
      </c>
      <c r="AC159" s="3" t="n">
        <v>135</v>
      </c>
      <c r="AD159" s="3" t="n">
        <v>-0.163</v>
      </c>
    </row>
    <row r="160" hidden="1">
      <c r="A160" s="3" t="inlineStr">
        <is>
          <t>TNP</t>
        </is>
      </c>
      <c r="B160" s="3" t="inlineStr">
        <is>
          <t>"hscale": 0=Kyte and Doolittle</t>
        </is>
      </c>
      <c r="C160" s="3" t="inlineStr">
        <is>
          <t>PNC</t>
        </is>
      </c>
      <c r="D160" s="3" t="inlineStr">
        <is>
          <t>TNP Patches of Negative Charge (CDR-vicinity)</t>
        </is>
      </c>
      <c r="E160" s="3" t="inlineStr">
        <is>
          <t>Polyreactivity (absorbance)</t>
        </is>
      </c>
      <c r="F160" s="3">
        <f>A160&amp;"|"&amp;B160&amp;"|"&amp;C160&amp;"|"&amp;D160&amp;"|"&amp;E160</f>
        <v/>
      </c>
      <c r="G160" s="3">
        <f>COUNTIF($F$2:$F$191,F160)</f>
        <v/>
      </c>
      <c r="H160" s="3" t="n">
        <v>0.048</v>
      </c>
      <c r="I160" s="3">
        <f>_xlfn.MINIFS($H$2:$H$191,$F$2:$F$191,F160)</f>
        <v/>
      </c>
      <c r="J160" s="3">
        <f>_xlfn.MAXIFS($H$2:$H$191,$F$2:$F$191,F160)</f>
        <v/>
      </c>
      <c r="K160" s="3">
        <f>IF(G160=1,"",IF(I160=J160,"EXACT_DUP","MISMATCH"))</f>
        <v/>
      </c>
      <c r="L160" s="3" t="n"/>
      <c r="M160" s="3" t="n">
        <v>1294</v>
      </c>
      <c r="N160" s="3" t="n">
        <v>0.542</v>
      </c>
      <c r="O160" s="3" t="n">
        <v>0.709</v>
      </c>
      <c r="P160" s="3" t="n">
        <v>0.877</v>
      </c>
      <c r="Q160" s="3" t="n">
        <v>0.631</v>
      </c>
      <c r="R160" s="3" t="n">
        <v>0.862</v>
      </c>
      <c r="S160" s="3" t="n"/>
      <c r="T160" s="3" t="n"/>
      <c r="U160" s="3" t="inlineStr">
        <is>
          <t>1.0</t>
        </is>
      </c>
      <c r="V160" s="3" t="inlineStr">
        <is>
          <t>BSD 3-Clause License</t>
        </is>
      </c>
      <c r="W160" s="3" t="n">
        <v>314</v>
      </c>
      <c r="X160" s="3" t="n">
        <v>0.129</v>
      </c>
      <c r="Y160" s="3" t="n">
        <v>723</v>
      </c>
      <c r="Z160" s="3" t="n">
        <v>-0.001</v>
      </c>
      <c r="AA160" s="3" t="n">
        <v>122</v>
      </c>
      <c r="AB160" s="3" t="n">
        <v>-0.126</v>
      </c>
      <c r="AC160" s="3" t="n">
        <v>135</v>
      </c>
      <c r="AD160" s="3" t="n">
        <v>-0.359</v>
      </c>
    </row>
    <row r="161" hidden="1">
      <c r="A161" s="3" t="inlineStr">
        <is>
          <t>TNP</t>
        </is>
      </c>
      <c r="B161" s="3" t="inlineStr">
        <is>
          <t>"hscale": 0=Kyte and Doolittle</t>
        </is>
      </c>
      <c r="C161" s="3" t="inlineStr">
        <is>
          <t>PNC</t>
        </is>
      </c>
      <c r="D161" s="3" t="inlineStr">
        <is>
          <t>TNP Patches of Negative Charge (CDR-vicinity)</t>
        </is>
      </c>
      <c r="E161" s="3" t="inlineStr">
        <is>
          <t>Thermostability (Tm1)</t>
        </is>
      </c>
      <c r="F161" s="3">
        <f>A161&amp;"|"&amp;B161&amp;"|"&amp;C161&amp;"|"&amp;D161&amp;"|"&amp;E161</f>
        <v/>
      </c>
      <c r="G161" s="3">
        <f>COUNTIF($F$2:$F$191,F161)</f>
        <v/>
      </c>
      <c r="H161" s="3" t="n">
        <v>-0.066</v>
      </c>
      <c r="I161" s="3">
        <f>_xlfn.MINIFS($H$2:$H$191,$F$2:$F$191,F161)</f>
        <v/>
      </c>
      <c r="J161" s="3">
        <f>_xlfn.MAXIFS($H$2:$H$191,$F$2:$F$191,F161)</f>
        <v/>
      </c>
      <c r="K161" s="3">
        <f>IF(G161=1,"",IF(I161=J161,"EXACT_DUP","MISMATCH"))</f>
        <v/>
      </c>
      <c r="L161" s="3" t="inlineStr">
        <is>
          <t>*</t>
        </is>
      </c>
      <c r="M161" s="3" t="n">
        <v>1406</v>
      </c>
      <c r="N161" s="3" t="n">
        <v>0.485</v>
      </c>
      <c r="O161" s="3" t="n">
        <v>0.5679999999999999</v>
      </c>
      <c r="P161" s="3" t="n">
        <v>0.465</v>
      </c>
      <c r="Q161" s="3" t="n">
        <v>0.507</v>
      </c>
      <c r="R161" s="3" t="n">
        <v>0.649</v>
      </c>
      <c r="S161" s="3" t="n"/>
      <c r="T161" s="3" t="n"/>
      <c r="U161" s="3" t="inlineStr">
        <is>
          <t>1.0</t>
        </is>
      </c>
      <c r="V161" s="3" t="inlineStr">
        <is>
          <t>BSD 3-Clause License</t>
        </is>
      </c>
      <c r="W161" s="3" t="n">
        <v>305</v>
      </c>
      <c r="X161" s="3" t="n">
        <v>0.475</v>
      </c>
      <c r="Y161" s="3" t="n">
        <v>829</v>
      </c>
      <c r="Z161" s="3" t="n">
        <v>-0.05</v>
      </c>
      <c r="AA161" s="3" t="n">
        <v>129</v>
      </c>
      <c r="AB161" s="3" t="n">
        <v>0.147</v>
      </c>
      <c r="AC161" s="3" t="n">
        <v>143</v>
      </c>
      <c r="AD161" s="3" t="n">
        <v>-0.114</v>
      </c>
    </row>
    <row r="162" hidden="1">
      <c r="A162" s="3" t="inlineStr">
        <is>
          <t>TNP</t>
        </is>
      </c>
      <c r="B162" s="3" t="inlineStr">
        <is>
          <t>"hscale": 0=Kyte and Doolittle</t>
        </is>
      </c>
      <c r="C162" s="3" t="inlineStr">
        <is>
          <t>PNC</t>
        </is>
      </c>
      <c r="D162" s="3" t="inlineStr">
        <is>
          <t>TNP Patches of Negative Charge (CDR-vicinity)</t>
        </is>
      </c>
      <c r="E162" s="3" t="inlineStr">
        <is>
          <t>Thermostability (Tm2)</t>
        </is>
      </c>
      <c r="F162" s="3">
        <f>A162&amp;"|"&amp;B162&amp;"|"&amp;C162&amp;"|"&amp;D162&amp;"|"&amp;E162</f>
        <v/>
      </c>
      <c r="G162" s="3">
        <f>COUNTIF($F$2:$F$191,F162)</f>
        <v/>
      </c>
      <c r="H162" s="3" t="n">
        <v>0.012</v>
      </c>
      <c r="I162" s="3">
        <f>_xlfn.MINIFS($H$2:$H$191,$F$2:$F$191,F162)</f>
        <v/>
      </c>
      <c r="J162" s="3">
        <f>_xlfn.MAXIFS($H$2:$H$191,$F$2:$F$191,F162)</f>
        <v/>
      </c>
      <c r="K162" s="3">
        <f>IF(G162=1,"",IF(I162=J162,"EXACT_DUP","MISMATCH"))</f>
        <v/>
      </c>
      <c r="L162" s="3" t="n"/>
      <c r="M162" s="3" t="n">
        <v>1094</v>
      </c>
      <c r="N162" s="3" t="n">
        <v>0.48</v>
      </c>
      <c r="O162" s="3" t="n">
        <v>0.632</v>
      </c>
      <c r="P162" s="3" t="n">
        <v>0.636</v>
      </c>
      <c r="Q162" s="3" t="n">
        <v>0.5639999999999999</v>
      </c>
      <c r="R162" s="3" t="n">
        <v>0.745</v>
      </c>
      <c r="S162" s="3" t="n"/>
      <c r="T162" s="3" t="n"/>
      <c r="U162" s="3" t="inlineStr">
        <is>
          <t>1.0</t>
        </is>
      </c>
      <c r="V162" s="3" t="inlineStr">
        <is>
          <t>BSD 3-Clause License</t>
        </is>
      </c>
      <c r="W162" s="3" t="n">
        <v>276</v>
      </c>
      <c r="X162" s="3" t="n">
        <v>0.287</v>
      </c>
      <c r="Y162" s="3" t="n">
        <v>575</v>
      </c>
      <c r="Z162" s="3" t="n">
        <v>-0.111</v>
      </c>
      <c r="AA162" s="3" t="n">
        <v>126</v>
      </c>
      <c r="AB162" s="3" t="n">
        <v>0.133</v>
      </c>
      <c r="AC162" s="3" t="n">
        <v>117</v>
      </c>
      <c r="AD162" s="3" t="n">
        <v>0.01</v>
      </c>
    </row>
    <row r="163" hidden="1">
      <c r="A163" s="3" t="inlineStr">
        <is>
          <t>TNP</t>
        </is>
      </c>
      <c r="B163" s="3" t="inlineStr">
        <is>
          <t>"hscale": 0=Kyte and Doolittle</t>
        </is>
      </c>
      <c r="C163" s="3" t="inlineStr">
        <is>
          <t>PNC</t>
        </is>
      </c>
      <c r="D163" s="3" t="inlineStr">
        <is>
          <t>TNP Patches of Negative Charge (CDR-vicinity)</t>
        </is>
      </c>
      <c r="E163" s="3" t="inlineStr">
        <is>
          <t>Thermostability (Tm3)</t>
        </is>
      </c>
      <c r="F163" s="3">
        <f>A163&amp;"|"&amp;B163&amp;"|"&amp;C163&amp;"|"&amp;D163&amp;"|"&amp;E163</f>
        <v/>
      </c>
      <c r="G163" s="3">
        <f>COUNTIF($F$2:$F$191,F163)</f>
        <v/>
      </c>
      <c r="H163" s="3" t="n">
        <v>0.264</v>
      </c>
      <c r="I163" s="3">
        <f>_xlfn.MINIFS($H$2:$H$191,$F$2:$F$191,F163)</f>
        <v/>
      </c>
      <c r="J163" s="3">
        <f>_xlfn.MAXIFS($H$2:$H$191,$F$2:$F$191,F163)</f>
        <v/>
      </c>
      <c r="K163" s="3">
        <f>IF(G163=1,"",IF(I163=J163,"EXACT_DUP","MISMATCH"))</f>
        <v/>
      </c>
      <c r="L163" s="3" t="inlineStr">
        <is>
          <t>***</t>
        </is>
      </c>
      <c r="M163" s="3" t="n">
        <v>177</v>
      </c>
      <c r="N163" s="3" t="n">
        <v>0.6879999999999999</v>
      </c>
      <c r="O163" s="3" t="n">
        <v>0.632</v>
      </c>
      <c r="P163" s="3" t="n">
        <v>0.889</v>
      </c>
      <c r="Q163" s="3" t="n">
        <v>0.222</v>
      </c>
      <c r="R163" s="3" t="n">
        <v>0.667</v>
      </c>
      <c r="S163" s="3" t="n"/>
      <c r="T163" s="3" t="n"/>
      <c r="U163" s="3" t="inlineStr">
        <is>
          <t>1.0</t>
        </is>
      </c>
      <c r="V163" s="3" t="inlineStr">
        <is>
          <t>BSD 3-Clause License</t>
        </is>
      </c>
      <c r="W163" s="3" t="n">
        <v>80</v>
      </c>
      <c r="X163" s="3" t="n">
        <v>0.525</v>
      </c>
      <c r="Y163" s="3" t="n">
        <v>38</v>
      </c>
      <c r="Z163" s="3" t="n">
        <v>-0.113</v>
      </c>
      <c r="AA163" s="3" t="n">
        <v>56</v>
      </c>
      <c r="AB163" s="3" t="n">
        <v>0.337</v>
      </c>
      <c r="AC163" s="3" t="n">
        <v>3</v>
      </c>
      <c r="AD163" s="3" t="n">
        <v>-1</v>
      </c>
    </row>
    <row r="164" hidden="1">
      <c r="A164" s="3" t="inlineStr">
        <is>
          <t>TNP</t>
        </is>
      </c>
      <c r="B164" s="3" t="inlineStr">
        <is>
          <t>"hscale": 0=Kyte and Doolittle</t>
        </is>
      </c>
      <c r="C164" s="3" t="inlineStr">
        <is>
          <t>PNC</t>
        </is>
      </c>
      <c r="D164" s="3" t="inlineStr">
        <is>
          <t>TNP Patches of Negative Charge (CDR-vicinity)</t>
        </is>
      </c>
      <c r="E164" s="3" t="inlineStr">
        <is>
          <t>Thermostability (onset)</t>
        </is>
      </c>
      <c r="F164" s="3">
        <f>A164&amp;"|"&amp;B164&amp;"|"&amp;C164&amp;"|"&amp;D164&amp;"|"&amp;E164</f>
        <v/>
      </c>
      <c r="G164" s="3">
        <f>COUNTIF($F$2:$F$191,F164)</f>
        <v/>
      </c>
      <c r="H164" s="3" t="n">
        <v>-0.05</v>
      </c>
      <c r="I164" s="3">
        <f>_xlfn.MINIFS($H$2:$H$191,$F$2:$F$191,F164)</f>
        <v/>
      </c>
      <c r="J164" s="3">
        <f>_xlfn.MAXIFS($H$2:$H$191,$F$2:$F$191,F164)</f>
        <v/>
      </c>
      <c r="K164" s="3">
        <f>IF(G164=1,"",IF(I164=J164,"EXACT_DUP","MISMATCH"))</f>
        <v/>
      </c>
      <c r="L164" s="3" t="n"/>
      <c r="M164" s="3" t="n">
        <v>1404</v>
      </c>
      <c r="N164" s="3" t="n">
        <v>0.482</v>
      </c>
      <c r="O164" s="3" t="n">
        <v>0.589</v>
      </c>
      <c r="P164" s="3" t="n">
        <v>0.437</v>
      </c>
      <c r="Q164" s="3" t="n">
        <v>0.52</v>
      </c>
      <c r="R164" s="3" t="n">
        <v>0.677</v>
      </c>
      <c r="S164" s="3" t="n"/>
      <c r="T164" s="3" t="n"/>
      <c r="U164" s="3" t="inlineStr">
        <is>
          <t>1.0</t>
        </is>
      </c>
      <c r="V164" s="3" t="inlineStr">
        <is>
          <t>BSD 3-Clause License</t>
        </is>
      </c>
      <c r="W164" s="3" t="n">
        <v>305</v>
      </c>
      <c r="X164" s="3" t="n">
        <v>0.431</v>
      </c>
      <c r="Y164" s="3" t="n">
        <v>827</v>
      </c>
      <c r="Z164" s="3" t="n">
        <v>-0.023</v>
      </c>
      <c r="AA164" s="3" t="n">
        <v>129</v>
      </c>
      <c r="AB164" s="3" t="n">
        <v>0.08599999999999999</v>
      </c>
      <c r="AC164" s="3" t="n">
        <v>143</v>
      </c>
      <c r="AD164" s="3" t="n">
        <v>-0.053</v>
      </c>
    </row>
    <row r="165" hidden="1">
      <c r="A165" s="3" t="inlineStr">
        <is>
          <t>TNP</t>
        </is>
      </c>
      <c r="B165" s="3" t="inlineStr">
        <is>
          <t>"hscale": 0=Kyte and Doolittle</t>
        </is>
      </c>
      <c r="C165" s="3" t="inlineStr">
        <is>
          <t>PNC</t>
        </is>
      </c>
      <c r="D165" s="3" t="inlineStr">
        <is>
          <t>TNP Patches of Negative Charge (CDR-vicinity)</t>
        </is>
      </c>
      <c r="E165" s="3" t="inlineStr">
        <is>
          <t>Titer</t>
        </is>
      </c>
      <c r="F165" s="3">
        <f>A165&amp;"|"&amp;B165&amp;"|"&amp;C165&amp;"|"&amp;D165&amp;"|"&amp;E165</f>
        <v/>
      </c>
      <c r="G165" s="3">
        <f>COUNTIF($F$2:$F$191,F165)</f>
        <v/>
      </c>
      <c r="H165" s="3" t="n">
        <v>0.123</v>
      </c>
      <c r="I165" s="3">
        <f>_xlfn.MINIFS($H$2:$H$191,$F$2:$F$191,F165)</f>
        <v/>
      </c>
      <c r="J165" s="3">
        <f>_xlfn.MAXIFS($H$2:$H$191,$F$2:$F$191,F165)</f>
        <v/>
      </c>
      <c r="K165" s="3">
        <f>IF(G165=1,"",IF(I165=J165,"EXACT_DUP","MISMATCH"))</f>
        <v/>
      </c>
      <c r="L165" s="3" t="inlineStr">
        <is>
          <t>***</t>
        </is>
      </c>
      <c r="M165" s="3" t="n">
        <v>4062</v>
      </c>
      <c r="N165" s="3" t="n">
        <v>0.578</v>
      </c>
      <c r="O165" s="3" t="n">
        <v>0.413</v>
      </c>
      <c r="P165" s="3" t="n">
        <v>0.588</v>
      </c>
      <c r="Q165" s="3" t="n">
        <v>0.26</v>
      </c>
      <c r="R165" s="3" t="n">
        <v>0.377</v>
      </c>
      <c r="S165" s="3" t="n"/>
      <c r="T165" s="3" t="n"/>
      <c r="U165" s="3" t="inlineStr">
        <is>
          <t>1.0</t>
        </is>
      </c>
      <c r="V165" s="3" t="inlineStr">
        <is>
          <t>BSD 3-Clause License</t>
        </is>
      </c>
      <c r="W165" s="3" t="n">
        <v>625</v>
      </c>
      <c r="X165" s="3" t="n">
        <v>0.293</v>
      </c>
      <c r="Y165" s="3" t="n">
        <v>2761</v>
      </c>
      <c r="Z165" s="3" t="n">
        <v>0.049</v>
      </c>
      <c r="AA165" s="3" t="n">
        <v>255</v>
      </c>
      <c r="AB165" s="3" t="n">
        <v>0.397</v>
      </c>
      <c r="AC165" s="3" t="n">
        <v>421</v>
      </c>
      <c r="AD165" s="3" t="n">
        <v>-0.061</v>
      </c>
    </row>
    <row r="166" hidden="1">
      <c r="A166" s="3" t="inlineStr">
        <is>
          <t>TNP</t>
        </is>
      </c>
      <c r="B166" s="3" t="inlineStr">
        <is>
          <t>"hscale": 0=Kyte and Doolittle</t>
        </is>
      </c>
      <c r="C166" s="3" t="inlineStr">
        <is>
          <t>PPC</t>
        </is>
      </c>
      <c r="D166" s="3" t="inlineStr">
        <is>
          <t>TNP Patches of Positive Charge (CDR-vicinity)</t>
        </is>
      </c>
      <c r="E166" s="3" t="inlineStr">
        <is>
          <t>Aggregation (Polydispersity idx)</t>
        </is>
      </c>
      <c r="F166" s="3">
        <f>A166&amp;"|"&amp;B166&amp;"|"&amp;C166&amp;"|"&amp;D166&amp;"|"&amp;E166</f>
        <v/>
      </c>
      <c r="G166" s="3">
        <f>COUNTIF($F$2:$F$191,F166)</f>
        <v/>
      </c>
      <c r="H166" s="3" t="n">
        <v>0.049</v>
      </c>
      <c r="I166" s="3">
        <f>_xlfn.MINIFS($H$2:$H$191,$F$2:$F$191,F166)</f>
        <v/>
      </c>
      <c r="J166" s="3">
        <f>_xlfn.MAXIFS($H$2:$H$191,$F$2:$F$191,F166)</f>
        <v/>
      </c>
      <c r="K166" s="3">
        <f>IF(G166=1,"",IF(I166=J166,"EXACT_DUP","MISMATCH"))</f>
        <v/>
      </c>
      <c r="L166" s="3" t="n"/>
      <c r="M166" s="3" t="n">
        <v>1287</v>
      </c>
      <c r="N166" s="3" t="n">
        <v>0.509</v>
      </c>
      <c r="O166" s="3" t="n">
        <v>0.769</v>
      </c>
      <c r="P166" s="3" t="n">
        <v>0.877</v>
      </c>
      <c r="Q166" s="3" t="n">
        <v>0.677</v>
      </c>
      <c r="R166" s="3" t="n">
        <v>0.846</v>
      </c>
      <c r="S166" s="3" t="n"/>
      <c r="T166" s="3" t="n"/>
      <c r="U166" s="3" t="inlineStr">
        <is>
          <t>1.0</t>
        </is>
      </c>
      <c r="V166" s="3" t="inlineStr">
        <is>
          <t>BSD 3-Clause License</t>
        </is>
      </c>
      <c r="W166" s="3" t="n">
        <v>313</v>
      </c>
      <c r="X166" s="3" t="n">
        <v>-0.275</v>
      </c>
      <c r="Y166" s="3" t="n">
        <v>720</v>
      </c>
      <c r="Z166" s="3" t="n">
        <v>0.08</v>
      </c>
      <c r="AA166" s="3" t="n">
        <v>120</v>
      </c>
      <c r="AB166" s="3" t="n">
        <v>-0.08500000000000001</v>
      </c>
      <c r="AC166" s="3" t="n">
        <v>134</v>
      </c>
      <c r="AD166" s="3" t="n">
        <v>0.039</v>
      </c>
    </row>
    <row r="167" hidden="1">
      <c r="A167" s="3" t="inlineStr">
        <is>
          <t>TNP</t>
        </is>
      </c>
      <c r="B167" s="3" t="inlineStr">
        <is>
          <t>"hscale": 0=Kyte and Doolittle</t>
        </is>
      </c>
      <c r="C167" s="3" t="inlineStr">
        <is>
          <t>PPC</t>
        </is>
      </c>
      <c r="D167" s="3" t="inlineStr">
        <is>
          <t>TNP Patches of Positive Charge (CDR-vicinity)</t>
        </is>
      </c>
      <c r="E167" s="3" t="inlineStr">
        <is>
          <t>Analytical Size Exclusion Chromatography</t>
        </is>
      </c>
      <c r="F167" s="3">
        <f>A167&amp;"|"&amp;B167&amp;"|"&amp;C167&amp;"|"&amp;D167&amp;"|"&amp;E167</f>
        <v/>
      </c>
      <c r="G167" s="3">
        <f>COUNTIF($F$2:$F$191,F167)</f>
        <v/>
      </c>
      <c r="H167" s="3" t="n">
        <v>0.133</v>
      </c>
      <c r="I167" s="3">
        <f>_xlfn.MINIFS($H$2:$H$191,$F$2:$F$191,F167)</f>
        <v/>
      </c>
      <c r="J167" s="3">
        <f>_xlfn.MAXIFS($H$2:$H$191,$F$2:$F$191,F167)</f>
        <v/>
      </c>
      <c r="K167" s="3">
        <f>IF(G167=1,"",IF(I167=J167,"EXACT_DUP","MISMATCH"))</f>
        <v/>
      </c>
      <c r="L167" s="3" t="inlineStr">
        <is>
          <t>***</t>
        </is>
      </c>
      <c r="M167" s="3" t="n">
        <v>1447</v>
      </c>
      <c r="N167" s="3" t="n">
        <v>0.5610000000000001</v>
      </c>
      <c r="O167" s="3" t="n">
        <v>0.651</v>
      </c>
      <c r="P167" s="3" t="n">
        <v>0.726</v>
      </c>
      <c r="Q167" s="3" t="n">
        <v>0.519</v>
      </c>
      <c r="R167" s="3" t="n">
        <v>0.699</v>
      </c>
      <c r="S167" s="3" t="n"/>
      <c r="T167" s="3" t="n"/>
      <c r="U167" s="3" t="inlineStr">
        <is>
          <t>1.0</t>
        </is>
      </c>
      <c r="V167" s="3" t="inlineStr">
        <is>
          <t>BSD 3-Clause License</t>
        </is>
      </c>
      <c r="W167" s="3" t="n">
        <v>336</v>
      </c>
      <c r="X167" s="3" t="n">
        <v>0.233</v>
      </c>
      <c r="Y167" s="3" t="n">
        <v>823</v>
      </c>
      <c r="Z167" s="3" t="n">
        <v>0.074</v>
      </c>
      <c r="AA167" s="3" t="n">
        <v>137</v>
      </c>
      <c r="AB167" s="3" t="n">
        <v>-0.035</v>
      </c>
      <c r="AC167" s="3" t="n">
        <v>151</v>
      </c>
      <c r="AD167" s="3" t="n">
        <v>-0.386</v>
      </c>
    </row>
    <row r="168" hidden="1">
      <c r="A168" s="3" t="inlineStr">
        <is>
          <t>TNP</t>
        </is>
      </c>
      <c r="B168" s="3" t="inlineStr">
        <is>
          <t>"hscale": 0=Kyte and Doolittle</t>
        </is>
      </c>
      <c r="C168" s="3" t="inlineStr">
        <is>
          <t>PPC</t>
        </is>
      </c>
      <c r="D168" s="3" t="inlineStr">
        <is>
          <t>TNP Patches of Positive Charge (CDR-vicinity)</t>
        </is>
      </c>
      <c r="E168" s="3" t="inlineStr">
        <is>
          <t>Hydrophobicity</t>
        </is>
      </c>
      <c r="F168" s="3">
        <f>A168&amp;"|"&amp;B168&amp;"|"&amp;C168&amp;"|"&amp;D168&amp;"|"&amp;E168</f>
        <v/>
      </c>
      <c r="G168" s="3">
        <f>COUNTIF($F$2:$F$191,F168)</f>
        <v/>
      </c>
      <c r="H168" s="3" t="n">
        <v>0.13</v>
      </c>
      <c r="I168" s="3">
        <f>_xlfn.MINIFS($H$2:$H$191,$F$2:$F$191,F168)</f>
        <v/>
      </c>
      <c r="J168" s="3">
        <f>_xlfn.MAXIFS($H$2:$H$191,$F$2:$F$191,F168)</f>
        <v/>
      </c>
      <c r="K168" s="3">
        <f>IF(G168=1,"",IF(I168=J168,"EXACT_DUP","MISMATCH"))</f>
        <v/>
      </c>
      <c r="L168" s="3" t="inlineStr">
        <is>
          <t>***</t>
        </is>
      </c>
      <c r="M168" s="3" t="n">
        <v>1294</v>
      </c>
      <c r="N168" s="3" t="n"/>
      <c r="O168" s="3" t="n"/>
      <c r="P168" s="3" t="n"/>
      <c r="Q168" s="3" t="n"/>
      <c r="R168" s="3" t="n"/>
      <c r="S168" s="3" t="n"/>
      <c r="T168" s="3" t="n"/>
      <c r="U168" s="3" t="inlineStr">
        <is>
          <t>1.0</t>
        </is>
      </c>
      <c r="V168" s="3" t="inlineStr">
        <is>
          <t>BSD 3-Clause License</t>
        </is>
      </c>
      <c r="W168" s="3" t="n">
        <v>314</v>
      </c>
      <c r="X168" s="3" t="n">
        <v>-0.059</v>
      </c>
      <c r="Y168" s="3" t="n">
        <v>723</v>
      </c>
      <c r="Z168" s="3" t="n">
        <v>0.059</v>
      </c>
      <c r="AA168" s="3" t="n">
        <v>122</v>
      </c>
      <c r="AB168" s="3" t="n">
        <v>-0.044</v>
      </c>
      <c r="AC168" s="3" t="n">
        <v>135</v>
      </c>
      <c r="AD168" s="3" t="n">
        <v>0.597</v>
      </c>
    </row>
    <row r="169" hidden="1">
      <c r="A169" s="3" t="inlineStr">
        <is>
          <t>TNP</t>
        </is>
      </c>
      <c r="B169" s="3" t="inlineStr">
        <is>
          <t>"hscale": 0=Kyte and Doolittle</t>
        </is>
      </c>
      <c r="C169" s="3" t="inlineStr">
        <is>
          <t>PPC</t>
        </is>
      </c>
      <c r="D169" s="3" t="inlineStr">
        <is>
          <t>TNP Patches of Positive Charge (CDR-vicinity)</t>
        </is>
      </c>
      <c r="E169" s="3" t="inlineStr">
        <is>
          <t>Polyreactivity (absorbance)</t>
        </is>
      </c>
      <c r="F169" s="3">
        <f>A169&amp;"|"&amp;B169&amp;"|"&amp;C169&amp;"|"&amp;D169&amp;"|"&amp;E169</f>
        <v/>
      </c>
      <c r="G169" s="3">
        <f>COUNTIF($F$2:$F$191,F169)</f>
        <v/>
      </c>
      <c r="H169" s="3" t="n">
        <v>0.136</v>
      </c>
      <c r="I169" s="3">
        <f>_xlfn.MINIFS($H$2:$H$191,$F$2:$F$191,F169)</f>
        <v/>
      </c>
      <c r="J169" s="3">
        <f>_xlfn.MAXIFS($H$2:$H$191,$F$2:$F$191,F169)</f>
        <v/>
      </c>
      <c r="K169" s="3">
        <f>IF(G169=1,"",IF(I169=J169,"EXACT_DUP","MISMATCH"))</f>
        <v/>
      </c>
      <c r="L169" s="3" t="inlineStr">
        <is>
          <t>***</t>
        </is>
      </c>
      <c r="M169" s="3" t="n">
        <v>1294</v>
      </c>
      <c r="N169" s="3" t="n">
        <v>0.5679999999999999</v>
      </c>
      <c r="O169" s="3" t="n">
        <v>0.721</v>
      </c>
      <c r="P169" s="3" t="n">
        <v>0.8149999999999999</v>
      </c>
      <c r="Q169" s="3" t="n">
        <v>0.585</v>
      </c>
      <c r="R169" s="3" t="n">
        <v>0.862</v>
      </c>
      <c r="S169" s="3" t="n"/>
      <c r="T169" s="3" t="n"/>
      <c r="U169" s="3" t="inlineStr">
        <is>
          <t>1.0</t>
        </is>
      </c>
      <c r="V169" s="3" t="inlineStr">
        <is>
          <t>BSD 3-Clause License</t>
        </is>
      </c>
      <c r="W169" s="3" t="n">
        <v>314</v>
      </c>
      <c r="X169" s="3" t="n">
        <v>0.224</v>
      </c>
      <c r="Y169" s="3" t="n">
        <v>723</v>
      </c>
      <c r="Z169" s="3" t="n">
        <v>0.117</v>
      </c>
      <c r="AA169" s="3" t="n">
        <v>122</v>
      </c>
      <c r="AB169" s="3" t="n">
        <v>0.027</v>
      </c>
      <c r="AC169" s="3" t="n">
        <v>135</v>
      </c>
      <c r="AD169" s="3" t="n">
        <v>0.384</v>
      </c>
    </row>
    <row r="170" hidden="1">
      <c r="A170" s="3" t="inlineStr">
        <is>
          <t>TNP</t>
        </is>
      </c>
      <c r="B170" s="3" t="inlineStr">
        <is>
          <t>"hscale": 0=Kyte and Doolittle</t>
        </is>
      </c>
      <c r="C170" s="3" t="inlineStr">
        <is>
          <t>PPC</t>
        </is>
      </c>
      <c r="D170" s="3" t="inlineStr">
        <is>
          <t>TNP Patches of Positive Charge (CDR-vicinity)</t>
        </is>
      </c>
      <c r="E170" s="3" t="inlineStr">
        <is>
          <t>Thermostability (Tm1)</t>
        </is>
      </c>
      <c r="F170" s="3">
        <f>A170&amp;"|"&amp;B170&amp;"|"&amp;C170&amp;"|"&amp;D170&amp;"|"&amp;E170</f>
        <v/>
      </c>
      <c r="G170" s="3">
        <f>COUNTIF($F$2:$F$191,F170)</f>
        <v/>
      </c>
      <c r="H170" s="3" t="n">
        <v>0.097</v>
      </c>
      <c r="I170" s="3">
        <f>_xlfn.MINIFS($H$2:$H$191,$F$2:$F$191,F170)</f>
        <v/>
      </c>
      <c r="J170" s="3">
        <f>_xlfn.MAXIFS($H$2:$H$191,$F$2:$F$191,F170)</f>
        <v/>
      </c>
      <c r="K170" s="3">
        <f>IF(G170=1,"",IF(I170=J170,"EXACT_DUP","MISMATCH"))</f>
        <v/>
      </c>
      <c r="L170" s="3" t="inlineStr">
        <is>
          <t>***</t>
        </is>
      </c>
      <c r="M170" s="3" t="n">
        <v>1406</v>
      </c>
      <c r="N170" s="3" t="n">
        <v>0.5639999999999999</v>
      </c>
      <c r="O170" s="3" t="n">
        <v>0.624</v>
      </c>
      <c r="P170" s="3" t="n">
        <v>0.577</v>
      </c>
      <c r="Q170" s="3" t="n">
        <v>0.506</v>
      </c>
      <c r="R170" s="3" t="n">
        <v>0.6909999999999999</v>
      </c>
      <c r="S170" s="3" t="n"/>
      <c r="T170" s="3" t="n"/>
      <c r="U170" s="3" t="inlineStr">
        <is>
          <t>1.0</t>
        </is>
      </c>
      <c r="V170" s="3" t="inlineStr">
        <is>
          <t>BSD 3-Clause License</t>
        </is>
      </c>
      <c r="W170" s="3" t="n">
        <v>305</v>
      </c>
      <c r="X170" s="3" t="n">
        <v>0.378</v>
      </c>
      <c r="Y170" s="3" t="n">
        <v>829</v>
      </c>
      <c r="Z170" s="3" t="n">
        <v>0.055</v>
      </c>
      <c r="AA170" s="3" t="n">
        <v>129</v>
      </c>
      <c r="AB170" s="3" t="n">
        <v>-0.12</v>
      </c>
      <c r="AC170" s="3" t="n">
        <v>143</v>
      </c>
      <c r="AD170" s="3" t="n">
        <v>0.193</v>
      </c>
    </row>
    <row r="171" hidden="1">
      <c r="A171" s="3" t="inlineStr">
        <is>
          <t>TNP</t>
        </is>
      </c>
      <c r="B171" s="3" t="inlineStr">
        <is>
          <t>"hscale": 0=Kyte and Doolittle</t>
        </is>
      </c>
      <c r="C171" s="3" t="inlineStr">
        <is>
          <t>PPC</t>
        </is>
      </c>
      <c r="D171" s="3" t="inlineStr">
        <is>
          <t>TNP Patches of Positive Charge (CDR-vicinity)</t>
        </is>
      </c>
      <c r="E171" s="3" t="inlineStr">
        <is>
          <t>Thermostability (Tm2)</t>
        </is>
      </c>
      <c r="F171" s="3">
        <f>A171&amp;"|"&amp;B171&amp;"|"&amp;C171&amp;"|"&amp;D171&amp;"|"&amp;E171</f>
        <v/>
      </c>
      <c r="G171" s="3">
        <f>COUNTIF($F$2:$F$191,F171)</f>
        <v/>
      </c>
      <c r="H171" s="3" t="n">
        <v>0.096</v>
      </c>
      <c r="I171" s="3">
        <f>_xlfn.MINIFS($H$2:$H$191,$F$2:$F$191,F171)</f>
        <v/>
      </c>
      <c r="J171" s="3">
        <f>_xlfn.MAXIFS($H$2:$H$191,$F$2:$F$191,F171)</f>
        <v/>
      </c>
      <c r="K171" s="3">
        <f>IF(G171=1,"",IF(I171=J171,"EXACT_DUP","MISMATCH"))</f>
        <v/>
      </c>
      <c r="L171" s="3" t="inlineStr">
        <is>
          <t>***</t>
        </is>
      </c>
      <c r="M171" s="3" t="n">
        <v>1094</v>
      </c>
      <c r="N171" s="3" t="n">
        <v>0.529</v>
      </c>
      <c r="O171" s="3" t="n">
        <v>0.66</v>
      </c>
      <c r="P171" s="3" t="n">
        <v>0.6</v>
      </c>
      <c r="Q171" s="3" t="n">
        <v>0.5629999999999999</v>
      </c>
      <c r="R171" s="3" t="n">
        <v>0.764</v>
      </c>
      <c r="S171" s="3" t="n"/>
      <c r="T171" s="3" t="n"/>
      <c r="U171" s="3" t="inlineStr">
        <is>
          <t>1.0</t>
        </is>
      </c>
      <c r="V171" s="3" t="inlineStr">
        <is>
          <t>BSD 3-Clause License</t>
        </is>
      </c>
      <c r="W171" s="3" t="n">
        <v>276</v>
      </c>
      <c r="X171" s="3" t="n">
        <v>0.307</v>
      </c>
      <c r="Y171" s="3" t="n">
        <v>575</v>
      </c>
      <c r="Z171" s="3" t="n">
        <v>0.056</v>
      </c>
      <c r="AA171" s="3" t="n">
        <v>126</v>
      </c>
      <c r="AB171" s="3" t="n">
        <v>-0.204</v>
      </c>
      <c r="AC171" s="3" t="n">
        <v>117</v>
      </c>
      <c r="AD171" s="3" t="n">
        <v>0.094</v>
      </c>
    </row>
    <row r="172" hidden="1">
      <c r="A172" s="3" t="inlineStr">
        <is>
          <t>TNP</t>
        </is>
      </c>
      <c r="B172" s="3" t="inlineStr">
        <is>
          <t>"hscale": 0=Kyte and Doolittle</t>
        </is>
      </c>
      <c r="C172" s="3" t="inlineStr">
        <is>
          <t>PPC</t>
        </is>
      </c>
      <c r="D172" s="3" t="inlineStr">
        <is>
          <t>TNP Patches of Positive Charge (CDR-vicinity)</t>
        </is>
      </c>
      <c r="E172" s="3" t="inlineStr">
        <is>
          <t>Thermostability (Tm3)</t>
        </is>
      </c>
      <c r="F172" s="3">
        <f>A172&amp;"|"&amp;B172&amp;"|"&amp;C172&amp;"|"&amp;D172&amp;"|"&amp;E172</f>
        <v/>
      </c>
      <c r="G172" s="3">
        <f>COUNTIF($F$2:$F$191,F172)</f>
        <v/>
      </c>
      <c r="H172" s="3" t="n">
        <v>0.05</v>
      </c>
      <c r="I172" s="3">
        <f>_xlfn.MINIFS($H$2:$H$191,$F$2:$F$191,F172)</f>
        <v/>
      </c>
      <c r="J172" s="3">
        <f>_xlfn.MAXIFS($H$2:$H$191,$F$2:$F$191,F172)</f>
        <v/>
      </c>
      <c r="K172" s="3">
        <f>IF(G172=1,"",IF(I172=J172,"EXACT_DUP","MISMATCH"))</f>
        <v/>
      </c>
      <c r="L172" s="3" t="n"/>
      <c r="M172" s="3" t="n">
        <v>177</v>
      </c>
      <c r="N172" s="3" t="n">
        <v>0.502</v>
      </c>
      <c r="O172" s="3" t="n">
        <v>0.436</v>
      </c>
      <c r="P172" s="3" t="n">
        <v>0.444</v>
      </c>
      <c r="Q172" s="3" t="n">
        <v>0.111</v>
      </c>
      <c r="R172" s="3" t="n">
        <v>0.667</v>
      </c>
      <c r="S172" s="3" t="n"/>
      <c r="T172" s="3" t="n"/>
      <c r="U172" s="3" t="inlineStr">
        <is>
          <t>1.0</t>
        </is>
      </c>
      <c r="V172" s="3" t="inlineStr">
        <is>
          <t>BSD 3-Clause License</t>
        </is>
      </c>
      <c r="W172" s="3" t="n">
        <v>80</v>
      </c>
      <c r="X172" s="3" t="n">
        <v>0.349</v>
      </c>
      <c r="Y172" s="3" t="n">
        <v>38</v>
      </c>
      <c r="Z172" s="3" t="n">
        <v>-0.011</v>
      </c>
      <c r="AA172" s="3" t="n">
        <v>56</v>
      </c>
      <c r="AB172" s="3" t="n">
        <v>-0.291</v>
      </c>
      <c r="AC172" s="3" t="n">
        <v>3</v>
      </c>
      <c r="AD172" s="3" t="n">
        <v>0.866</v>
      </c>
    </row>
    <row r="173" hidden="1">
      <c r="A173" s="3" t="inlineStr">
        <is>
          <t>TNP</t>
        </is>
      </c>
      <c r="B173" s="3" t="inlineStr">
        <is>
          <t>"hscale": 0=Kyte and Doolittle</t>
        </is>
      </c>
      <c r="C173" s="3" t="inlineStr">
        <is>
          <t>PPC</t>
        </is>
      </c>
      <c r="D173" s="3" t="inlineStr">
        <is>
          <t>TNP Patches of Positive Charge (CDR-vicinity)</t>
        </is>
      </c>
      <c r="E173" s="3" t="inlineStr">
        <is>
          <t>Thermostability (onset)</t>
        </is>
      </c>
      <c r="F173" s="3">
        <f>A173&amp;"|"&amp;B173&amp;"|"&amp;C173&amp;"|"&amp;D173&amp;"|"&amp;E173</f>
        <v/>
      </c>
      <c r="G173" s="3">
        <f>COUNTIF($F$2:$F$191,F173)</f>
        <v/>
      </c>
      <c r="H173" s="3" t="n">
        <v>0.08500000000000001</v>
      </c>
      <c r="I173" s="3">
        <f>_xlfn.MINIFS($H$2:$H$191,$F$2:$F$191,F173)</f>
        <v/>
      </c>
      <c r="J173" s="3">
        <f>_xlfn.MAXIFS($H$2:$H$191,$F$2:$F$191,F173)</f>
        <v/>
      </c>
      <c r="K173" s="3">
        <f>IF(G173=1,"",IF(I173=J173,"EXACT_DUP","MISMATCH"))</f>
        <v/>
      </c>
      <c r="L173" s="3" t="inlineStr">
        <is>
          <t>***</t>
        </is>
      </c>
      <c r="M173" s="3" t="n">
        <v>1404</v>
      </c>
      <c r="N173" s="3" t="n">
        <v>0.554</v>
      </c>
      <c r="O173" s="3" t="n">
        <v>0.647</v>
      </c>
      <c r="P173" s="3" t="n">
        <v>0.592</v>
      </c>
      <c r="Q173" s="3" t="n">
        <v>0.507</v>
      </c>
      <c r="R173" s="3" t="n">
        <v>0.677</v>
      </c>
      <c r="S173" s="3" t="n"/>
      <c r="T173" s="3" t="n"/>
      <c r="U173" s="3" t="inlineStr">
        <is>
          <t>1.0</t>
        </is>
      </c>
      <c r="V173" s="3" t="inlineStr">
        <is>
          <t>BSD 3-Clause License</t>
        </is>
      </c>
      <c r="W173" s="3" t="n">
        <v>305</v>
      </c>
      <c r="X173" s="3" t="n">
        <v>0.354</v>
      </c>
      <c r="Y173" s="3" t="n">
        <v>827</v>
      </c>
      <c r="Z173" s="3" t="n">
        <v>0.065</v>
      </c>
      <c r="AA173" s="3" t="n">
        <v>129</v>
      </c>
      <c r="AB173" s="3" t="n">
        <v>-0.113</v>
      </c>
      <c r="AC173" s="3" t="n">
        <v>143</v>
      </c>
      <c r="AD173" s="3" t="n">
        <v>0.09</v>
      </c>
    </row>
    <row r="174" hidden="1">
      <c r="A174" s="3" t="inlineStr">
        <is>
          <t>TNP</t>
        </is>
      </c>
      <c r="B174" s="3" t="inlineStr">
        <is>
          <t>"hscale": 0=Kyte and Doolittle</t>
        </is>
      </c>
      <c r="C174" s="3" t="inlineStr">
        <is>
          <t>PPC</t>
        </is>
      </c>
      <c r="D174" s="3" t="inlineStr">
        <is>
          <t>TNP Patches of Positive Charge (CDR-vicinity)</t>
        </is>
      </c>
      <c r="E174" s="3" t="inlineStr">
        <is>
          <t>Titer</t>
        </is>
      </c>
      <c r="F174" s="3">
        <f>A174&amp;"|"&amp;B174&amp;"|"&amp;C174&amp;"|"&amp;D174&amp;"|"&amp;E174</f>
        <v/>
      </c>
      <c r="G174" s="3">
        <f>COUNTIF($F$2:$F$191,F174)</f>
        <v/>
      </c>
      <c r="H174" s="3" t="n">
        <v>0.092</v>
      </c>
      <c r="I174" s="3">
        <f>_xlfn.MINIFS($H$2:$H$191,$F$2:$F$191,F174)</f>
        <v/>
      </c>
      <c r="J174" s="3">
        <f>_xlfn.MAXIFS($H$2:$H$191,$F$2:$F$191,F174)</f>
        <v/>
      </c>
      <c r="K174" s="3">
        <f>IF(G174=1,"",IF(I174=J174,"EXACT_DUP","MISMATCH"))</f>
        <v/>
      </c>
      <c r="L174" s="3" t="inlineStr">
        <is>
          <t>***</t>
        </is>
      </c>
      <c r="M174" s="3" t="n">
        <v>4062</v>
      </c>
      <c r="N174" s="3" t="n">
        <v>0.5639999999999999</v>
      </c>
      <c r="O174" s="3" t="n">
        <v>0.364</v>
      </c>
      <c r="P174" s="3" t="n">
        <v>0.289</v>
      </c>
      <c r="Q174" s="3" t="n">
        <v>0.274</v>
      </c>
      <c r="R174" s="3" t="n">
        <v>0.373</v>
      </c>
      <c r="S174" s="3" t="n"/>
      <c r="T174" s="3" t="n"/>
      <c r="U174" s="3" t="inlineStr">
        <is>
          <t>1.0</t>
        </is>
      </c>
      <c r="V174" s="3" t="inlineStr">
        <is>
          <t>BSD 3-Clause License</t>
        </is>
      </c>
      <c r="W174" s="3" t="n">
        <v>625</v>
      </c>
      <c r="X174" s="3" t="n">
        <v>0.325</v>
      </c>
      <c r="Y174" s="3" t="n">
        <v>2761</v>
      </c>
      <c r="Z174" s="3" t="n">
        <v>0.04</v>
      </c>
      <c r="AA174" s="3" t="n">
        <v>255</v>
      </c>
      <c r="AB174" s="3" t="n">
        <v>-0.134</v>
      </c>
      <c r="AC174" s="3" t="n">
        <v>421</v>
      </c>
      <c r="AD174" s="3" t="n">
        <v>0.065</v>
      </c>
    </row>
    <row r="175" hidden="1">
      <c r="A175" s="3" t="inlineStr">
        <is>
          <t>TNP</t>
        </is>
      </c>
      <c r="B175" s="3" t="inlineStr">
        <is>
          <t>"hscale": 0=Kyte and Doolittle</t>
        </is>
      </c>
      <c r="C175" s="3" t="inlineStr">
        <is>
          <t>PSH</t>
        </is>
      </c>
      <c r="D175" s="3" t="inlineStr">
        <is>
          <t>TNP Patches of Surface Hydrophobicity (CDR-vicinity)</t>
        </is>
      </c>
      <c r="E175" s="3" t="inlineStr">
        <is>
          <t>Hydrophobicity</t>
        </is>
      </c>
      <c r="F175" s="3">
        <f>A175&amp;"|"&amp;B175&amp;"|"&amp;C175&amp;"|"&amp;D175&amp;"|"&amp;E175</f>
        <v/>
      </c>
      <c r="G175" s="3">
        <f>COUNTIF($F$2:$F$191,F175)</f>
        <v/>
      </c>
      <c r="H175" s="3" t="n">
        <v>-0.329</v>
      </c>
      <c r="I175" s="3">
        <f>_xlfn.MINIFS($H$2:$H$191,$F$2:$F$191,F175)</f>
        <v/>
      </c>
      <c r="J175" s="3">
        <f>_xlfn.MAXIFS($H$2:$H$191,$F$2:$F$191,F175)</f>
        <v/>
      </c>
      <c r="K175" s="3">
        <f>IF(G175=1,"",IF(I175=J175,"EXACT_DUP","MISMATCH"))</f>
        <v/>
      </c>
      <c r="L175" s="3" t="inlineStr">
        <is>
          <t>***</t>
        </is>
      </c>
      <c r="M175" s="3" t="n">
        <v>1294</v>
      </c>
      <c r="N175" s="3" t="n"/>
      <c r="O175" s="3" t="n"/>
      <c r="P175" s="3" t="n"/>
      <c r="Q175" s="3" t="n"/>
      <c r="R175" s="3" t="n"/>
      <c r="S175" s="3" t="n"/>
      <c r="T175" s="3" t="inlineStr">
        <is>
          <t>Not transformed because of bimodal distribution.</t>
        </is>
      </c>
      <c r="U175" s="3" t="inlineStr">
        <is>
          <t>1.0</t>
        </is>
      </c>
      <c r="V175" s="3" t="inlineStr">
        <is>
          <t>BSD 3-Clause License</t>
        </is>
      </c>
      <c r="W175" s="3" t="n">
        <v>314</v>
      </c>
      <c r="X175" s="3" t="n">
        <v>-0.271</v>
      </c>
      <c r="Y175" s="3" t="n">
        <v>723</v>
      </c>
      <c r="Z175" s="3" t="n">
        <v>-0.253</v>
      </c>
      <c r="AA175" s="3" t="n">
        <v>122</v>
      </c>
      <c r="AB175" s="3" t="n">
        <v>-0.185</v>
      </c>
      <c r="AC175" s="3" t="n">
        <v>135</v>
      </c>
      <c r="AD175" s="3" t="n">
        <v>-0.245</v>
      </c>
    </row>
    <row r="176" hidden="1">
      <c r="A176" s="3" t="inlineStr">
        <is>
          <t>TemStaPro</t>
        </is>
      </c>
      <c r="B176" s="3" t="n"/>
      <c r="C176" s="3" t="inlineStr">
        <is>
          <t>t40_raw</t>
        </is>
      </c>
      <c r="D176" s="3" t="inlineStr">
        <is>
          <t>TemStaPro stability score at 40C</t>
        </is>
      </c>
      <c r="E176" s="3" t="inlineStr">
        <is>
          <t>Thermostability (Tm1)</t>
        </is>
      </c>
      <c r="F176" s="3">
        <f>A176&amp;"|"&amp;B176&amp;"|"&amp;C176&amp;"|"&amp;D176&amp;"|"&amp;E176</f>
        <v/>
      </c>
      <c r="G176" s="3">
        <f>COUNTIF($F$2:$F$191,F176)</f>
        <v/>
      </c>
      <c r="H176" s="3" t="n">
        <v>0.214</v>
      </c>
      <c r="I176" s="3">
        <f>_xlfn.MINIFS($H$2:$H$191,$F$2:$F$191,F176)</f>
        <v/>
      </c>
      <c r="J176" s="3">
        <f>_xlfn.MAXIFS($H$2:$H$191,$F$2:$F$191,F176)</f>
        <v/>
      </c>
      <c r="K176" s="3">
        <f>IF(G176=1,"",IF(I176=J176,"EXACT_DUP","MISMATCH"))</f>
        <v/>
      </c>
      <c r="L176" s="3" t="inlineStr">
        <is>
          <t>***</t>
        </is>
      </c>
      <c r="M176" s="3" t="n">
        <v>1568</v>
      </c>
      <c r="N176" s="3" t="n">
        <v>0.622</v>
      </c>
      <c r="O176" s="3" t="n">
        <v>0.636</v>
      </c>
      <c r="P176" s="3" t="n">
        <v>0.57</v>
      </c>
      <c r="Q176" s="3" t="n">
        <v>0.468</v>
      </c>
      <c r="R176" s="3" t="n">
        <v>0.697</v>
      </c>
      <c r="S176" s="3" t="n"/>
      <c r="T176" s="3" t="n"/>
      <c r="U176" s="3" t="inlineStr">
        <is>
          <t>1.0</t>
        </is>
      </c>
      <c r="V176" s="3" t="inlineStr">
        <is>
          <t>MIT License</t>
        </is>
      </c>
      <c r="W176" s="3" t="n">
        <v>319</v>
      </c>
      <c r="X176" s="3" t="n">
        <v>0.455</v>
      </c>
      <c r="Y176" s="3" t="n">
        <v>943</v>
      </c>
      <c r="Z176" s="3" t="n">
        <v>0.008999999999999999</v>
      </c>
      <c r="AA176" s="3" t="n">
        <v>149</v>
      </c>
      <c r="AB176" s="3" t="n">
        <v>0.175</v>
      </c>
      <c r="AC176" s="3" t="n">
        <v>157</v>
      </c>
      <c r="AD176" s="3" t="n">
        <v>-0.011</v>
      </c>
    </row>
    <row r="177" hidden="1">
      <c r="A177" s="3" t="inlineStr">
        <is>
          <t>TemStaPro</t>
        </is>
      </c>
      <c r="B177" s="3" t="n"/>
      <c r="C177" s="3" t="inlineStr">
        <is>
          <t>t40_raw</t>
        </is>
      </c>
      <c r="D177" s="3" t="inlineStr">
        <is>
          <t>TemStaPro stability score at 40C</t>
        </is>
      </c>
      <c r="E177" s="3" t="inlineStr">
        <is>
          <t>Thermostability (Tm2)</t>
        </is>
      </c>
      <c r="F177" s="3">
        <f>A177&amp;"|"&amp;B177&amp;"|"&amp;C177&amp;"|"&amp;D177&amp;"|"&amp;E177</f>
        <v/>
      </c>
      <c r="G177" s="3">
        <f>COUNTIF($F$2:$F$191,F177)</f>
        <v/>
      </c>
      <c r="H177" s="3" t="n">
        <v>0.126</v>
      </c>
      <c r="I177" s="3">
        <f>_xlfn.MINIFS($H$2:$H$191,$F$2:$F$191,F177)</f>
        <v/>
      </c>
      <c r="J177" s="3">
        <f>_xlfn.MAXIFS($H$2:$H$191,$F$2:$F$191,F177)</f>
        <v/>
      </c>
      <c r="K177" s="3">
        <f>IF(G177=1,"",IF(I177=J177,"EXACT_DUP","MISMATCH"))</f>
        <v/>
      </c>
      <c r="L177" s="3" t="inlineStr">
        <is>
          <t>***</t>
        </is>
      </c>
      <c r="M177" s="3" t="n">
        <v>1196</v>
      </c>
      <c r="N177" s="3" t="n">
        <v>0.58</v>
      </c>
      <c r="O177" s="3" t="n">
        <v>0.677</v>
      </c>
      <c r="P177" s="3" t="n">
        <v>0.75</v>
      </c>
      <c r="Q177" s="3" t="n">
        <v>0.517</v>
      </c>
      <c r="R177" s="3" t="n">
        <v>0.733</v>
      </c>
      <c r="S177" s="3" t="n"/>
      <c r="T177" s="3" t="n"/>
      <c r="U177" s="3" t="inlineStr">
        <is>
          <t>1.0</t>
        </is>
      </c>
      <c r="V177" s="3" t="inlineStr">
        <is>
          <t>MIT License</t>
        </is>
      </c>
      <c r="W177" s="3" t="n">
        <v>287</v>
      </c>
      <c r="X177" s="3" t="n">
        <v>0.391</v>
      </c>
      <c r="Y177" s="3" t="n">
        <v>636</v>
      </c>
      <c r="Z177" s="3" t="n">
        <v>-0.053</v>
      </c>
      <c r="AA177" s="3" t="n">
        <v>146</v>
      </c>
      <c r="AB177" s="3" t="n">
        <v>0.246</v>
      </c>
      <c r="AC177" s="3" t="n">
        <v>127</v>
      </c>
      <c r="AD177" s="3" t="n">
        <v>-0.047</v>
      </c>
    </row>
    <row r="178" hidden="1">
      <c r="A178" s="3" t="inlineStr">
        <is>
          <t>TemStaPro</t>
        </is>
      </c>
      <c r="B178" s="3" t="n"/>
      <c r="C178" s="3" t="inlineStr">
        <is>
          <t>t40_raw</t>
        </is>
      </c>
      <c r="D178" s="3" t="inlineStr">
        <is>
          <t>TemStaPro stability score at 40C</t>
        </is>
      </c>
      <c r="E178" s="3" t="inlineStr">
        <is>
          <t>Thermostability (Tm3)</t>
        </is>
      </c>
      <c r="F178" s="3">
        <f>A178&amp;"|"&amp;B178&amp;"|"&amp;C178&amp;"|"&amp;D178&amp;"|"&amp;E178</f>
        <v/>
      </c>
      <c r="G178" s="3">
        <f>COUNTIF($F$2:$F$191,F178)</f>
        <v/>
      </c>
      <c r="H178" s="3" t="n">
        <v>0.103</v>
      </c>
      <c r="I178" s="3">
        <f>_xlfn.MINIFS($H$2:$H$191,$F$2:$F$191,F178)</f>
        <v/>
      </c>
      <c r="J178" s="3">
        <f>_xlfn.MAXIFS($H$2:$H$191,$F$2:$F$191,F178)</f>
        <v/>
      </c>
      <c r="K178" s="3">
        <f>IF(G178=1,"",IF(I178=J178,"EXACT_DUP","MISMATCH"))</f>
        <v/>
      </c>
      <c r="L178" s="3" t="n"/>
      <c r="M178" s="3" t="n">
        <v>189</v>
      </c>
      <c r="N178" s="3" t="n">
        <v>0.619</v>
      </c>
      <c r="O178" s="3" t="n">
        <v>0.57</v>
      </c>
      <c r="P178" s="3" t="n">
        <v>0.7</v>
      </c>
      <c r="Q178" s="3" t="n">
        <v>0.2</v>
      </c>
      <c r="R178" s="3" t="n">
        <v>0.7</v>
      </c>
      <c r="S178" s="3" t="n"/>
      <c r="T178" s="3" t="n"/>
      <c r="U178" s="3" t="inlineStr">
        <is>
          <t>1.0</t>
        </is>
      </c>
      <c r="V178" s="3" t="inlineStr">
        <is>
          <t>MIT License</t>
        </is>
      </c>
      <c r="W178" s="3" t="n">
        <v>84</v>
      </c>
      <c r="X178" s="3" t="n">
        <v>0.372</v>
      </c>
      <c r="Y178" s="3" t="n">
        <v>42</v>
      </c>
      <c r="Z178" s="3" t="n">
        <v>-0.159</v>
      </c>
      <c r="AA178" s="3" t="n">
        <v>60</v>
      </c>
      <c r="AB178" s="3" t="n">
        <v>0.331</v>
      </c>
      <c r="AC178" s="3" t="n">
        <v>3</v>
      </c>
      <c r="AD178" s="3" t="n">
        <v>0.5</v>
      </c>
    </row>
    <row r="179" hidden="1">
      <c r="A179" s="3" t="inlineStr">
        <is>
          <t>TemStaPro</t>
        </is>
      </c>
      <c r="B179" s="3" t="n"/>
      <c r="C179" s="3" t="inlineStr">
        <is>
          <t>t40_raw</t>
        </is>
      </c>
      <c r="D179" s="3" t="inlineStr">
        <is>
          <t>TemStaPro stability score at 40C</t>
        </is>
      </c>
      <c r="E179" s="3" t="inlineStr">
        <is>
          <t>Thermostability (onset)</t>
        </is>
      </c>
      <c r="F179" s="3">
        <f>A179&amp;"|"&amp;B179&amp;"|"&amp;C179&amp;"|"&amp;D179&amp;"|"&amp;E179</f>
        <v/>
      </c>
      <c r="G179" s="3">
        <f>COUNTIF($F$2:$F$191,F179)</f>
        <v/>
      </c>
      <c r="H179" s="3" t="n">
        <v>0.205</v>
      </c>
      <c r="I179" s="3">
        <f>_xlfn.MINIFS($H$2:$H$191,$F$2:$F$191,F179)</f>
        <v/>
      </c>
      <c r="J179" s="3">
        <f>_xlfn.MAXIFS($H$2:$H$191,$F$2:$F$191,F179)</f>
        <v/>
      </c>
      <c r="K179" s="3">
        <f>IF(G179=1,"",IF(I179=J179,"EXACT_DUP","MISMATCH"))</f>
        <v/>
      </c>
      <c r="L179" s="3" t="inlineStr">
        <is>
          <t>***</t>
        </is>
      </c>
      <c r="M179" s="3" t="n">
        <v>1565</v>
      </c>
      <c r="N179" s="3" t="n">
        <v>0.62</v>
      </c>
      <c r="O179" s="3" t="n">
        <v>0.662</v>
      </c>
      <c r="P179" s="3" t="n">
        <v>0.582</v>
      </c>
      <c r="Q179" s="3" t="n">
        <v>0.519</v>
      </c>
      <c r="R179" s="3" t="n">
        <v>0.696</v>
      </c>
      <c r="S179" s="3" t="n"/>
      <c r="T179" s="3" t="n"/>
      <c r="U179" s="3" t="inlineStr">
        <is>
          <t>1.0</t>
        </is>
      </c>
      <c r="V179" s="3" t="inlineStr">
        <is>
          <t>MIT License</t>
        </is>
      </c>
      <c r="W179" s="3" t="n">
        <v>319</v>
      </c>
      <c r="X179" s="3" t="n">
        <v>0.436</v>
      </c>
      <c r="Y179" s="3" t="n">
        <v>940</v>
      </c>
      <c r="Z179" s="3" t="n">
        <v>0.005</v>
      </c>
      <c r="AA179" s="3" t="n">
        <v>149</v>
      </c>
      <c r="AB179" s="3" t="n">
        <v>0.132</v>
      </c>
      <c r="AC179" s="3" t="n">
        <v>157</v>
      </c>
      <c r="AD179" s="3" t="n">
        <v>-0.057</v>
      </c>
    </row>
    <row r="180" hidden="1">
      <c r="A180" s="3" t="inlineStr">
        <is>
          <t>TemStaPro</t>
        </is>
      </c>
      <c r="B180" s="3" t="n"/>
      <c r="C180" s="3" t="inlineStr">
        <is>
          <t>t50_raw</t>
        </is>
      </c>
      <c r="D180" s="3" t="inlineStr">
        <is>
          <t>TemStaPro stability score at 50C</t>
        </is>
      </c>
      <c r="E180" s="3" t="inlineStr">
        <is>
          <t>Thermostability (Tm1)</t>
        </is>
      </c>
      <c r="F180" s="3">
        <f>A180&amp;"|"&amp;B180&amp;"|"&amp;C180&amp;"|"&amp;D180&amp;"|"&amp;E180</f>
        <v/>
      </c>
      <c r="G180" s="3">
        <f>COUNTIF($F$2:$F$191,F180)</f>
        <v/>
      </c>
      <c r="H180" s="3" t="n">
        <v>0.215</v>
      </c>
      <c r="I180" s="3">
        <f>_xlfn.MINIFS($H$2:$H$191,$F$2:$F$191,F180)</f>
        <v/>
      </c>
      <c r="J180" s="3">
        <f>_xlfn.MAXIFS($H$2:$H$191,$F$2:$F$191,F180)</f>
        <v/>
      </c>
      <c r="K180" s="3">
        <f>IF(G180=1,"",IF(I180=J180,"EXACT_DUP","MISMATCH"))</f>
        <v/>
      </c>
      <c r="L180" s="3" t="inlineStr">
        <is>
          <t>***</t>
        </is>
      </c>
      <c r="M180" s="3" t="n">
        <v>1568</v>
      </c>
      <c r="N180" s="3" t="n">
        <v>0.62</v>
      </c>
      <c r="O180" s="3" t="n">
        <v>0.6820000000000001</v>
      </c>
      <c r="P180" s="3" t="n">
        <v>0.8100000000000001</v>
      </c>
      <c r="Q180" s="3" t="n">
        <v>0.481</v>
      </c>
      <c r="R180" s="3" t="n">
        <v>0.6840000000000001</v>
      </c>
      <c r="S180" s="3" t="n"/>
      <c r="T180" s="3" t="n"/>
      <c r="U180" s="3" t="inlineStr">
        <is>
          <t>1.0</t>
        </is>
      </c>
      <c r="V180" s="3" t="inlineStr">
        <is>
          <t>MIT License</t>
        </is>
      </c>
      <c r="W180" s="3" t="n">
        <v>319</v>
      </c>
      <c r="X180" s="3" t="n">
        <v>0.42</v>
      </c>
      <c r="Y180" s="3" t="n">
        <v>943</v>
      </c>
      <c r="Z180" s="3" t="n">
        <v>0.092</v>
      </c>
      <c r="AA180" s="3" t="n">
        <v>149</v>
      </c>
      <c r="AB180" s="3" t="n">
        <v>0.251</v>
      </c>
      <c r="AC180" s="3" t="n">
        <v>157</v>
      </c>
      <c r="AD180" s="3" t="n">
        <v>-0.07199999999999999</v>
      </c>
    </row>
    <row r="181" hidden="1">
      <c r="A181" s="3" t="inlineStr">
        <is>
          <t>TemStaPro</t>
        </is>
      </c>
      <c r="B181" s="3" t="n"/>
      <c r="C181" s="3" t="inlineStr">
        <is>
          <t>t50_raw</t>
        </is>
      </c>
      <c r="D181" s="3" t="inlineStr">
        <is>
          <t>TemStaPro stability score at 50C</t>
        </is>
      </c>
      <c r="E181" s="3" t="inlineStr">
        <is>
          <t>Thermostability (Tm2)</t>
        </is>
      </c>
      <c r="F181" s="3">
        <f>A181&amp;"|"&amp;B181&amp;"|"&amp;C181&amp;"|"&amp;D181&amp;"|"&amp;E181</f>
        <v/>
      </c>
      <c r="G181" s="3">
        <f>COUNTIF($F$2:$F$191,F181)</f>
        <v/>
      </c>
      <c r="H181" s="3" t="n">
        <v>0.198</v>
      </c>
      <c r="I181" s="3">
        <f>_xlfn.MINIFS($H$2:$H$191,$F$2:$F$191,F181)</f>
        <v/>
      </c>
      <c r="J181" s="3">
        <f>_xlfn.MAXIFS($H$2:$H$191,$F$2:$F$191,F181)</f>
        <v/>
      </c>
      <c r="K181" s="3">
        <f>IF(G181=1,"",IF(I181=J181,"EXACT_DUP","MISMATCH"))</f>
        <v/>
      </c>
      <c r="L181" s="3" t="inlineStr">
        <is>
          <t>***</t>
        </is>
      </c>
      <c r="M181" s="3" t="n">
        <v>1196</v>
      </c>
      <c r="N181" s="3" t="n">
        <v>0.598</v>
      </c>
      <c r="O181" s="3" t="n">
        <v>0.6820000000000001</v>
      </c>
      <c r="P181" s="3" t="n">
        <v>0.65</v>
      </c>
      <c r="Q181" s="3" t="n">
        <v>0.5</v>
      </c>
      <c r="R181" s="3" t="n">
        <v>0.701</v>
      </c>
      <c r="S181" s="3" t="n"/>
      <c r="T181" s="3" t="n"/>
      <c r="U181" s="3" t="inlineStr">
        <is>
          <t>1.0</t>
        </is>
      </c>
      <c r="V181" s="3" t="inlineStr">
        <is>
          <t>MIT License</t>
        </is>
      </c>
      <c r="W181" s="3" t="n">
        <v>287</v>
      </c>
      <c r="X181" s="3" t="n">
        <v>0.332</v>
      </c>
      <c r="Y181" s="3" t="n">
        <v>636</v>
      </c>
      <c r="Z181" s="3" t="n">
        <v>0.055</v>
      </c>
      <c r="AA181" s="3" t="n">
        <v>146</v>
      </c>
      <c r="AB181" s="3" t="n">
        <v>0.33</v>
      </c>
      <c r="AC181" s="3" t="n">
        <v>127</v>
      </c>
      <c r="AD181" s="3" t="n">
        <v>-0.034</v>
      </c>
    </row>
    <row r="182" hidden="1">
      <c r="A182" s="3" t="inlineStr">
        <is>
          <t>TemStaPro</t>
        </is>
      </c>
      <c r="B182" s="3" t="n"/>
      <c r="C182" s="3" t="inlineStr">
        <is>
          <t>t50_raw</t>
        </is>
      </c>
      <c r="D182" s="3" t="inlineStr">
        <is>
          <t>TemStaPro stability score at 50C</t>
        </is>
      </c>
      <c r="E182" s="3" t="inlineStr">
        <is>
          <t>Thermostability (Tm3)</t>
        </is>
      </c>
      <c r="F182" s="3">
        <f>A182&amp;"|"&amp;B182&amp;"|"&amp;C182&amp;"|"&amp;D182&amp;"|"&amp;E182</f>
        <v/>
      </c>
      <c r="G182" s="3">
        <f>COUNTIF($F$2:$F$191,F182)</f>
        <v/>
      </c>
      <c r="H182" s="3" t="n">
        <v>0.294</v>
      </c>
      <c r="I182" s="3">
        <f>_xlfn.MINIFS($H$2:$H$191,$F$2:$F$191,F182)</f>
        <v/>
      </c>
      <c r="J182" s="3">
        <f>_xlfn.MAXIFS($H$2:$H$191,$F$2:$F$191,F182)</f>
        <v/>
      </c>
      <c r="K182" s="3">
        <f>IF(G182=1,"",IF(I182=J182,"EXACT_DUP","MISMATCH"))</f>
        <v/>
      </c>
      <c r="L182" s="3" t="inlineStr">
        <is>
          <t>***</t>
        </is>
      </c>
      <c r="M182" s="3" t="n">
        <v>189</v>
      </c>
      <c r="N182" s="3" t="n">
        <v>0.76</v>
      </c>
      <c r="O182" s="3" t="n">
        <v>0.6840000000000001</v>
      </c>
      <c r="P182" s="3" t="n">
        <v>0.9</v>
      </c>
      <c r="Q182" s="3" t="n">
        <v>0.2</v>
      </c>
      <c r="R182" s="3" t="n">
        <v>0.7</v>
      </c>
      <c r="S182" s="3" t="n"/>
      <c r="T182" s="3" t="n"/>
      <c r="U182" s="3" t="inlineStr">
        <is>
          <t>1.0</t>
        </is>
      </c>
      <c r="V182" s="3" t="inlineStr">
        <is>
          <t>MIT License</t>
        </is>
      </c>
      <c r="W182" s="3" t="n">
        <v>84</v>
      </c>
      <c r="X182" s="3" t="n">
        <v>0.326</v>
      </c>
      <c r="Y182" s="3" t="n">
        <v>42</v>
      </c>
      <c r="Z182" s="3" t="n">
        <v>0</v>
      </c>
      <c r="AA182" s="3" t="n">
        <v>60</v>
      </c>
      <c r="AB182" s="3" t="n">
        <v>0.444</v>
      </c>
      <c r="AC182" s="3" t="n">
        <v>3</v>
      </c>
      <c r="AD182" s="3" t="n">
        <v>0.5</v>
      </c>
    </row>
    <row r="183" hidden="1">
      <c r="A183" s="3" t="inlineStr">
        <is>
          <t>TemStaPro</t>
        </is>
      </c>
      <c r="B183" s="3" t="n"/>
      <c r="C183" s="3" t="inlineStr">
        <is>
          <t>t50_raw</t>
        </is>
      </c>
      <c r="D183" s="3" t="inlineStr">
        <is>
          <t>TemStaPro stability score at 50C</t>
        </is>
      </c>
      <c r="E183" s="3" t="inlineStr">
        <is>
          <t>Thermostability (onset)</t>
        </is>
      </c>
      <c r="F183" s="3">
        <f>A183&amp;"|"&amp;B183&amp;"|"&amp;C183&amp;"|"&amp;D183&amp;"|"&amp;E183</f>
        <v/>
      </c>
      <c r="G183" s="3">
        <f>COUNTIF($F$2:$F$191,F183)</f>
        <v/>
      </c>
      <c r="H183" s="3" t="n">
        <v>0.21</v>
      </c>
      <c r="I183" s="3">
        <f>_xlfn.MINIFS($H$2:$H$191,$F$2:$F$191,F183)</f>
        <v/>
      </c>
      <c r="J183" s="3">
        <f>_xlfn.MAXIFS($H$2:$H$191,$F$2:$F$191,F183)</f>
        <v/>
      </c>
      <c r="K183" s="3">
        <f>IF(G183=1,"",IF(I183=J183,"EXACT_DUP","MISMATCH"))</f>
        <v/>
      </c>
      <c r="L183" s="3" t="inlineStr">
        <is>
          <t>***</t>
        </is>
      </c>
      <c r="M183" s="3" t="n">
        <v>1565</v>
      </c>
      <c r="N183" s="3" t="n">
        <v>0.626</v>
      </c>
      <c r="O183" s="3" t="n">
        <v>0.711</v>
      </c>
      <c r="P183" s="3" t="n">
        <v>0.848</v>
      </c>
      <c r="Q183" s="3" t="n">
        <v>0.544</v>
      </c>
      <c r="R183" s="3" t="n">
        <v>0.6840000000000001</v>
      </c>
      <c r="S183" s="3" t="n"/>
      <c r="T183" s="3" t="n"/>
      <c r="U183" s="3" t="inlineStr">
        <is>
          <t>1.0</t>
        </is>
      </c>
      <c r="V183" s="3" t="inlineStr">
        <is>
          <t>MIT License</t>
        </is>
      </c>
      <c r="W183" s="3" t="n">
        <v>319</v>
      </c>
      <c r="X183" s="3" t="n">
        <v>0.388</v>
      </c>
      <c r="Y183" s="3" t="n">
        <v>940</v>
      </c>
      <c r="Z183" s="3" t="n">
        <v>0.095</v>
      </c>
      <c r="AA183" s="3" t="n">
        <v>149</v>
      </c>
      <c r="AB183" s="3" t="n">
        <v>0.222</v>
      </c>
      <c r="AC183" s="3" t="n">
        <v>157</v>
      </c>
      <c r="AD183" s="3" t="n">
        <v>-0.04</v>
      </c>
    </row>
    <row r="184" hidden="1">
      <c r="A184" s="3" t="inlineStr">
        <is>
          <t>TemStaPro</t>
        </is>
      </c>
      <c r="B184" s="3" t="n"/>
      <c r="C184" s="3" t="inlineStr">
        <is>
          <t>t60_raw</t>
        </is>
      </c>
      <c r="D184" s="3" t="inlineStr">
        <is>
          <t>TemStaPro stability score at 60C</t>
        </is>
      </c>
      <c r="E184" s="3" t="inlineStr">
        <is>
          <t>Thermostability (Tm1)</t>
        </is>
      </c>
      <c r="F184" s="3">
        <f>A184&amp;"|"&amp;B184&amp;"|"&amp;C184&amp;"|"&amp;D184&amp;"|"&amp;E184</f>
        <v/>
      </c>
      <c r="G184" s="3">
        <f>COUNTIF($F$2:$F$191,F184)</f>
        <v/>
      </c>
      <c r="H184" s="3" t="n">
        <v>0.267</v>
      </c>
      <c r="I184" s="3">
        <f>_xlfn.MINIFS($H$2:$H$191,$F$2:$F$191,F184)</f>
        <v/>
      </c>
      <c r="J184" s="3">
        <f>_xlfn.MAXIFS($H$2:$H$191,$F$2:$F$191,F184)</f>
        <v/>
      </c>
      <c r="K184" s="3">
        <f>IF(G184=1,"",IF(I184=J184,"EXACT_DUP","MISMATCH"))</f>
        <v/>
      </c>
      <c r="L184" s="3" t="inlineStr">
        <is>
          <t>***</t>
        </is>
      </c>
      <c r="M184" s="3" t="n">
        <v>1568</v>
      </c>
      <c r="N184" s="3" t="n">
        <v>0.647</v>
      </c>
      <c r="O184" s="3" t="n">
        <v>0.6840000000000001</v>
      </c>
      <c r="P184" s="3" t="n">
        <v>0.772</v>
      </c>
      <c r="Q184" s="3" t="n">
        <v>0.494</v>
      </c>
      <c r="R184" s="3" t="n">
        <v>0.658</v>
      </c>
      <c r="S184" s="3" t="n"/>
      <c r="T184" s="3" t="n"/>
      <c r="U184" s="3" t="inlineStr">
        <is>
          <t>1.0</t>
        </is>
      </c>
      <c r="V184" s="3" t="inlineStr">
        <is>
          <t>MIT License</t>
        </is>
      </c>
      <c r="W184" s="3" t="n">
        <v>319</v>
      </c>
      <c r="X184" s="3" t="n">
        <v>0.534</v>
      </c>
      <c r="Y184" s="3" t="n">
        <v>943</v>
      </c>
      <c r="Z184" s="3" t="n">
        <v>0.006</v>
      </c>
      <c r="AA184" s="3" t="n">
        <v>149</v>
      </c>
      <c r="AB184" s="3" t="n">
        <v>0.264</v>
      </c>
      <c r="AC184" s="3" t="n">
        <v>157</v>
      </c>
      <c r="AD184" s="3" t="n">
        <v>0.037</v>
      </c>
    </row>
    <row r="185" hidden="1">
      <c r="A185" s="3" t="inlineStr">
        <is>
          <t>TemStaPro</t>
        </is>
      </c>
      <c r="B185" s="3" t="n"/>
      <c r="C185" s="3" t="inlineStr">
        <is>
          <t>t60_raw</t>
        </is>
      </c>
      <c r="D185" s="3" t="inlineStr">
        <is>
          <t>TemStaPro stability score at 60C</t>
        </is>
      </c>
      <c r="E185" s="3" t="inlineStr">
        <is>
          <t>Thermostability (Tm2)</t>
        </is>
      </c>
      <c r="F185" s="3">
        <f>A185&amp;"|"&amp;B185&amp;"|"&amp;C185&amp;"|"&amp;D185&amp;"|"&amp;E185</f>
        <v/>
      </c>
      <c r="G185" s="3">
        <f>COUNTIF($F$2:$F$191,F185)</f>
        <v/>
      </c>
      <c r="H185" s="3" t="n">
        <v>0.181</v>
      </c>
      <c r="I185" s="3">
        <f>_xlfn.MINIFS($H$2:$H$191,$F$2:$F$191,F185)</f>
        <v/>
      </c>
      <c r="J185" s="3">
        <f>_xlfn.MAXIFS($H$2:$H$191,$F$2:$F$191,F185)</f>
        <v/>
      </c>
      <c r="K185" s="3">
        <f>IF(G185=1,"",IF(I185=J185,"EXACT_DUP","MISMATCH"))</f>
        <v/>
      </c>
      <c r="L185" s="3" t="inlineStr">
        <is>
          <t>***</t>
        </is>
      </c>
      <c r="M185" s="3" t="n">
        <v>1196</v>
      </c>
      <c r="N185" s="3" t="n">
        <v>0.588</v>
      </c>
      <c r="O185" s="3" t="n">
        <v>0.669</v>
      </c>
      <c r="P185" s="3" t="n">
        <v>0.65</v>
      </c>
      <c r="Q185" s="3" t="n">
        <v>0.533</v>
      </c>
      <c r="R185" s="3" t="n">
        <v>0.717</v>
      </c>
      <c r="S185" s="3" t="n"/>
      <c r="T185" s="3" t="n"/>
      <c r="U185" s="3" t="inlineStr">
        <is>
          <t>1.0</t>
        </is>
      </c>
      <c r="V185" s="3" t="inlineStr">
        <is>
          <t>MIT License</t>
        </is>
      </c>
      <c r="W185" s="3" t="n">
        <v>287</v>
      </c>
      <c r="X185" s="3" t="n">
        <v>0.42</v>
      </c>
      <c r="Y185" s="3" t="n">
        <v>636</v>
      </c>
      <c r="Z185" s="3" t="n">
        <v>-0.031</v>
      </c>
      <c r="AA185" s="3" t="n">
        <v>146</v>
      </c>
      <c r="AB185" s="3" t="n">
        <v>0.361</v>
      </c>
      <c r="AC185" s="3" t="n">
        <v>127</v>
      </c>
      <c r="AD185" s="3" t="n">
        <v>0.078</v>
      </c>
    </row>
    <row r="186" hidden="1">
      <c r="A186" s="3" t="inlineStr">
        <is>
          <t>TemStaPro</t>
        </is>
      </c>
      <c r="B186" s="3" t="n"/>
      <c r="C186" s="3" t="inlineStr">
        <is>
          <t>t60_raw</t>
        </is>
      </c>
      <c r="D186" s="3" t="inlineStr">
        <is>
          <t>TemStaPro stability score at 60C</t>
        </is>
      </c>
      <c r="E186" s="3" t="inlineStr">
        <is>
          <t>Thermostability (Tm3)</t>
        </is>
      </c>
      <c r="F186" s="3">
        <f>A186&amp;"|"&amp;B186&amp;"|"&amp;C186&amp;"|"&amp;D186&amp;"|"&amp;E186</f>
        <v/>
      </c>
      <c r="G186" s="3">
        <f>COUNTIF($F$2:$F$191,F186)</f>
        <v/>
      </c>
      <c r="H186" s="3" t="n">
        <v>0.299</v>
      </c>
      <c r="I186" s="3">
        <f>_xlfn.MINIFS($H$2:$H$191,$F$2:$F$191,F186)</f>
        <v/>
      </c>
      <c r="J186" s="3">
        <f>_xlfn.MAXIFS($H$2:$H$191,$F$2:$F$191,F186)</f>
        <v/>
      </c>
      <c r="K186" s="3">
        <f>IF(G186=1,"",IF(I186=J186,"EXACT_DUP","MISMATCH"))</f>
        <v/>
      </c>
      <c r="L186" s="3" t="inlineStr">
        <is>
          <t>***</t>
        </is>
      </c>
      <c r="M186" s="3" t="n">
        <v>189</v>
      </c>
      <c r="N186" s="3" t="n">
        <v>0.757</v>
      </c>
      <c r="O186" s="3" t="n">
        <v>0.603</v>
      </c>
      <c r="P186" s="3" t="n">
        <v>0.3</v>
      </c>
      <c r="Q186" s="3" t="n">
        <v>0.2</v>
      </c>
      <c r="R186" s="3" t="n">
        <v>0.7</v>
      </c>
      <c r="S186" s="3" t="n"/>
      <c r="T186" s="3" t="n"/>
      <c r="U186" s="3" t="inlineStr">
        <is>
          <t>1.0</t>
        </is>
      </c>
      <c r="V186" s="3" t="inlineStr">
        <is>
          <t>MIT License</t>
        </is>
      </c>
      <c r="W186" s="3" t="n">
        <v>84</v>
      </c>
      <c r="X186" s="3" t="n">
        <v>0.456</v>
      </c>
      <c r="Y186" s="3" t="n">
        <v>42</v>
      </c>
      <c r="Z186" s="3" t="n">
        <v>-0.034</v>
      </c>
      <c r="AA186" s="3" t="n">
        <v>60</v>
      </c>
      <c r="AB186" s="3" t="n">
        <v>0.515</v>
      </c>
      <c r="AC186" s="3" t="n">
        <v>3</v>
      </c>
      <c r="AD186" s="3" t="n">
        <v>0.5</v>
      </c>
    </row>
    <row r="187" hidden="1">
      <c r="A187" s="3" t="inlineStr">
        <is>
          <t>TemStaPro</t>
        </is>
      </c>
      <c r="B187" s="3" t="n"/>
      <c r="C187" s="3" t="inlineStr">
        <is>
          <t>t60_raw</t>
        </is>
      </c>
      <c r="D187" s="3" t="inlineStr">
        <is>
          <t>TemStaPro stability score at 60C</t>
        </is>
      </c>
      <c r="E187" s="3" t="inlineStr">
        <is>
          <t>Thermostability (onset)</t>
        </is>
      </c>
      <c r="F187" s="3">
        <f>A187&amp;"|"&amp;B187&amp;"|"&amp;C187&amp;"|"&amp;D187&amp;"|"&amp;E187</f>
        <v/>
      </c>
      <c r="G187" s="3">
        <f>COUNTIF($F$2:$F$191,F187)</f>
        <v/>
      </c>
      <c r="H187" s="3" t="n">
        <v>0.284</v>
      </c>
      <c r="I187" s="3">
        <f>_xlfn.MINIFS($H$2:$H$191,$F$2:$F$191,F187)</f>
        <v/>
      </c>
      <c r="J187" s="3">
        <f>_xlfn.MAXIFS($H$2:$H$191,$F$2:$F$191,F187)</f>
        <v/>
      </c>
      <c r="K187" s="3">
        <f>IF(G187=1,"",IF(I187=J187,"EXACT_DUP","MISMATCH"))</f>
        <v/>
      </c>
      <c r="L187" s="3" t="inlineStr">
        <is>
          <t>***</t>
        </is>
      </c>
      <c r="M187" s="3" t="n">
        <v>1565</v>
      </c>
      <c r="N187" s="3" t="n">
        <v>0.652</v>
      </c>
      <c r="O187" s="3" t="n">
        <v>0.717</v>
      </c>
      <c r="P187" s="3" t="n">
        <v>0.785</v>
      </c>
      <c r="Q187" s="3" t="n">
        <v>0.519</v>
      </c>
      <c r="R187" s="3" t="n">
        <v>0.696</v>
      </c>
      <c r="S187" s="3" t="n"/>
      <c r="T187" s="3" t="n"/>
      <c r="U187" s="3" t="inlineStr">
        <is>
          <t>1.0</t>
        </is>
      </c>
      <c r="V187" s="3" t="inlineStr">
        <is>
          <t>MIT License</t>
        </is>
      </c>
      <c r="W187" s="3" t="n">
        <v>319</v>
      </c>
      <c r="X187" s="3" t="n">
        <v>0.486</v>
      </c>
      <c r="Y187" s="3" t="n">
        <v>940</v>
      </c>
      <c r="Z187" s="3" t="n">
        <v>0.047</v>
      </c>
      <c r="AA187" s="3" t="n">
        <v>149</v>
      </c>
      <c r="AB187" s="3" t="n">
        <v>0.266</v>
      </c>
      <c r="AC187" s="3" t="n">
        <v>157</v>
      </c>
      <c r="AD187" s="3" t="n">
        <v>0.018</v>
      </c>
    </row>
    <row r="188" hidden="1">
      <c r="A188" s="3" t="inlineStr">
        <is>
          <t>TemStaPro</t>
        </is>
      </c>
      <c r="B188" s="3" t="n"/>
      <c r="C188" s="3" t="inlineStr">
        <is>
          <t>t80_raw</t>
        </is>
      </c>
      <c r="D188" s="3" t="inlineStr">
        <is>
          <t>TemStaPro stability score at 80C</t>
        </is>
      </c>
      <c r="E188" s="3" t="inlineStr">
        <is>
          <t>Thermostability (Tm1)</t>
        </is>
      </c>
      <c r="F188" s="3">
        <f>A188&amp;"|"&amp;B188&amp;"|"&amp;C188&amp;"|"&amp;D188&amp;"|"&amp;E188</f>
        <v/>
      </c>
      <c r="G188" s="3">
        <f>COUNTIF($F$2:$F$191,F188)</f>
        <v/>
      </c>
      <c r="H188" s="3" t="n">
        <v>0.239</v>
      </c>
      <c r="I188" s="3">
        <f>_xlfn.MINIFS($H$2:$H$191,$F$2:$F$191,F188)</f>
        <v/>
      </c>
      <c r="J188" s="3">
        <f>_xlfn.MAXIFS($H$2:$H$191,$F$2:$F$191,F188)</f>
        <v/>
      </c>
      <c r="K188" s="3">
        <f>IF(G188=1,"",IF(I188=J188,"EXACT_DUP","MISMATCH"))</f>
        <v/>
      </c>
      <c r="L188" s="3" t="inlineStr">
        <is>
          <t>***</t>
        </is>
      </c>
      <c r="M188" s="3" t="n">
        <v>1568</v>
      </c>
      <c r="N188" s="3" t="n">
        <v>0.642</v>
      </c>
      <c r="O188" s="3" t="n">
        <v>0.694</v>
      </c>
      <c r="P188" s="3" t="n">
        <v>0.797</v>
      </c>
      <c r="Q188" s="3" t="n">
        <v>0.506</v>
      </c>
      <c r="R188" s="3" t="n">
        <v>0.659</v>
      </c>
      <c r="S188" s="3" t="n"/>
      <c r="T188" s="3" t="n"/>
      <c r="U188" s="3" t="inlineStr">
        <is>
          <t>1.0</t>
        </is>
      </c>
      <c r="V188" s="3" t="inlineStr">
        <is>
          <t>MIT License</t>
        </is>
      </c>
      <c r="W188" s="3" t="n">
        <v>319</v>
      </c>
      <c r="X188" s="3" t="n">
        <v>0.449</v>
      </c>
      <c r="Y188" s="3" t="n">
        <v>943</v>
      </c>
      <c r="Z188" s="3" t="n">
        <v>-0.058</v>
      </c>
      <c r="AA188" s="3" t="n">
        <v>149</v>
      </c>
      <c r="AB188" s="3" t="n">
        <v>-0.006</v>
      </c>
      <c r="AC188" s="3" t="n">
        <v>157</v>
      </c>
      <c r="AD188" s="3" t="n">
        <v>-0.064</v>
      </c>
    </row>
    <row r="189" hidden="1">
      <c r="A189" s="3" t="inlineStr">
        <is>
          <t>TemStaPro</t>
        </is>
      </c>
      <c r="B189" s="3" t="n"/>
      <c r="C189" s="3" t="inlineStr">
        <is>
          <t>t80_raw</t>
        </is>
      </c>
      <c r="D189" s="3" t="inlineStr">
        <is>
          <t>TemStaPro stability score at 80C</t>
        </is>
      </c>
      <c r="E189" s="3" t="inlineStr">
        <is>
          <t>Thermostability (Tm2)</t>
        </is>
      </c>
      <c r="F189" s="3">
        <f>A189&amp;"|"&amp;B189&amp;"|"&amp;C189&amp;"|"&amp;D189&amp;"|"&amp;E189</f>
        <v/>
      </c>
      <c r="G189" s="3">
        <f>COUNTIF($F$2:$F$191,F189)</f>
        <v/>
      </c>
      <c r="H189" s="3" t="n">
        <v>0.117</v>
      </c>
      <c r="I189" s="3">
        <f>_xlfn.MINIFS($H$2:$H$191,$F$2:$F$191,F189)</f>
        <v/>
      </c>
      <c r="J189" s="3">
        <f>_xlfn.MAXIFS($H$2:$H$191,$F$2:$F$191,F189)</f>
        <v/>
      </c>
      <c r="K189" s="3">
        <f>IF(G189=1,"",IF(I189=J189,"EXACT_DUP","MISMATCH"))</f>
        <v/>
      </c>
      <c r="L189" s="3" t="inlineStr">
        <is>
          <t>***</t>
        </is>
      </c>
      <c r="M189" s="3" t="n">
        <v>1196</v>
      </c>
      <c r="N189" s="3" t="n">
        <v>0.5590000000000001</v>
      </c>
      <c r="O189" s="3" t="n">
        <v>0.672</v>
      </c>
      <c r="P189" s="3" t="n">
        <v>0.717</v>
      </c>
      <c r="Q189" s="3" t="n">
        <v>0.533</v>
      </c>
      <c r="R189" s="3" t="n">
        <v>0.717</v>
      </c>
      <c r="S189" s="3" t="n"/>
      <c r="T189" s="3" t="n"/>
      <c r="U189" s="3" t="inlineStr">
        <is>
          <t>1.0</t>
        </is>
      </c>
      <c r="V189" s="3" t="inlineStr">
        <is>
          <t>MIT License</t>
        </is>
      </c>
      <c r="W189" s="3" t="n">
        <v>287</v>
      </c>
      <c r="X189" s="3" t="n">
        <v>0.399</v>
      </c>
      <c r="Y189" s="3" t="n">
        <v>636</v>
      </c>
      <c r="Z189" s="3" t="n">
        <v>-0.111</v>
      </c>
      <c r="AA189" s="3" t="n">
        <v>146</v>
      </c>
      <c r="AB189" s="3" t="n">
        <v>0.039</v>
      </c>
      <c r="AC189" s="3" t="n">
        <v>127</v>
      </c>
      <c r="AD189" s="3" t="n">
        <v>0.015</v>
      </c>
    </row>
    <row r="190" hidden="1">
      <c r="A190" s="3" t="inlineStr">
        <is>
          <t>TemStaPro</t>
        </is>
      </c>
      <c r="B190" s="3" t="n"/>
      <c r="C190" s="3" t="inlineStr">
        <is>
          <t>t80_raw</t>
        </is>
      </c>
      <c r="D190" s="3" t="inlineStr">
        <is>
          <t>TemStaPro stability score at 80C</t>
        </is>
      </c>
      <c r="E190" s="3" t="inlineStr">
        <is>
          <t>Thermostability (Tm3)</t>
        </is>
      </c>
      <c r="F190" s="3">
        <f>A190&amp;"|"&amp;B190&amp;"|"&amp;C190&amp;"|"&amp;D190&amp;"|"&amp;E190</f>
        <v/>
      </c>
      <c r="G190" s="3">
        <f>COUNTIF($F$2:$F$191,F190)</f>
        <v/>
      </c>
      <c r="H190" s="3" t="n">
        <v>0.191</v>
      </c>
      <c r="I190" s="3">
        <f>_xlfn.MINIFS($H$2:$H$191,$F$2:$F$191,F190)</f>
        <v/>
      </c>
      <c r="J190" s="3">
        <f>_xlfn.MAXIFS($H$2:$H$191,$F$2:$F$191,F190)</f>
        <v/>
      </c>
      <c r="K190" s="3">
        <f>IF(G190=1,"",IF(I190=J190,"EXACT_DUP","MISMATCH"))</f>
        <v/>
      </c>
      <c r="L190" s="3" t="inlineStr">
        <is>
          <t>**</t>
        </is>
      </c>
      <c r="M190" s="3" t="n">
        <v>189</v>
      </c>
      <c r="N190" s="3" t="n">
        <v>0.666</v>
      </c>
      <c r="O190" s="3" t="n">
        <v>0.539</v>
      </c>
      <c r="P190" s="3" t="n">
        <v>0.3</v>
      </c>
      <c r="Q190" s="3" t="n">
        <v>0.2</v>
      </c>
      <c r="R190" s="3" t="n">
        <v>0.7</v>
      </c>
      <c r="S190" s="3" t="n"/>
      <c r="T190" s="3" t="n"/>
      <c r="U190" s="3" t="inlineStr">
        <is>
          <t>1.0</t>
        </is>
      </c>
      <c r="V190" s="3" t="inlineStr">
        <is>
          <t>MIT License</t>
        </is>
      </c>
      <c r="W190" s="3" t="n">
        <v>84</v>
      </c>
      <c r="X190" s="3" t="n">
        <v>0.547</v>
      </c>
      <c r="Y190" s="3" t="n">
        <v>42</v>
      </c>
      <c r="Z190" s="3" t="n">
        <v>-0.249</v>
      </c>
      <c r="AA190" s="3" t="n">
        <v>60</v>
      </c>
      <c r="AB190" s="3" t="n">
        <v>0.391</v>
      </c>
      <c r="AC190" s="3" t="n">
        <v>3</v>
      </c>
      <c r="AD190" s="3" t="n">
        <v>-0.5</v>
      </c>
    </row>
    <row r="191" hidden="1">
      <c r="A191" s="3" t="inlineStr">
        <is>
          <t>TemStaPro</t>
        </is>
      </c>
      <c r="B191" s="3" t="n"/>
      <c r="C191" s="3" t="inlineStr">
        <is>
          <t>t80_raw</t>
        </is>
      </c>
      <c r="D191" s="3" t="inlineStr">
        <is>
          <t>TemStaPro stability score at 80C</t>
        </is>
      </c>
      <c r="E191" s="3" t="inlineStr">
        <is>
          <t>Thermostability (onset)</t>
        </is>
      </c>
      <c r="F191" s="3">
        <f>A191&amp;"|"&amp;B191&amp;"|"&amp;C191&amp;"|"&amp;D191&amp;"|"&amp;E191</f>
        <v/>
      </c>
      <c r="G191" s="3">
        <f>COUNTIF($F$2:$F$191,F191)</f>
        <v/>
      </c>
      <c r="H191" s="3" t="n">
        <v>0.247</v>
      </c>
      <c r="I191" s="3">
        <f>_xlfn.MINIFS($H$2:$H$191,$F$2:$F$191,F191)</f>
        <v/>
      </c>
      <c r="J191" s="3">
        <f>_xlfn.MAXIFS($H$2:$H$191,$F$2:$F$191,F191)</f>
        <v/>
      </c>
      <c r="K191" s="3">
        <f>IF(G191=1,"",IF(I191=J191,"EXACT_DUP","MISMATCH"))</f>
        <v/>
      </c>
      <c r="L191" s="3" t="inlineStr">
        <is>
          <t>***</t>
        </is>
      </c>
      <c r="M191" s="3" t="n">
        <v>1565</v>
      </c>
      <c r="N191" s="3" t="n">
        <v>0.631</v>
      </c>
      <c r="O191" s="3" t="n">
        <v>0.718</v>
      </c>
      <c r="P191" s="3" t="n">
        <v>0.835</v>
      </c>
      <c r="Q191" s="3" t="n">
        <v>0.519</v>
      </c>
      <c r="R191" s="3" t="n">
        <v>0.709</v>
      </c>
      <c r="S191" s="3" t="n"/>
      <c r="T191" s="3" t="n"/>
      <c r="U191" s="3" t="inlineStr">
        <is>
          <t>1.0</t>
        </is>
      </c>
      <c r="V191" s="3" t="inlineStr">
        <is>
          <t>MIT License</t>
        </is>
      </c>
      <c r="W191" s="3" t="n">
        <v>319</v>
      </c>
      <c r="X191" s="3" t="n">
        <v>0.374</v>
      </c>
      <c r="Y191" s="3" t="n">
        <v>940</v>
      </c>
      <c r="Z191" s="3" t="n">
        <v>-0.023</v>
      </c>
      <c r="AA191" s="3" t="n">
        <v>149</v>
      </c>
      <c r="AB191" s="3" t="n">
        <v>-0.062</v>
      </c>
      <c r="AC191" s="3" t="n">
        <v>157</v>
      </c>
      <c r="AD191" s="3" t="n">
        <v>0.07000000000000001</v>
      </c>
    </row>
  </sheetData>
  <autoFilter ref="A1:AD191">
    <filterColumn colId="0" hiddenButton="0" showButton="1">
      <filters>
        <filter val="FastDPE"/>
      </filters>
    </filterColumn>
    <filterColumn colId="4" hiddenButton="0" showButton="1">
      <filters>
        <filter val="Analytical Size Exclusion Chromatography"/>
      </filters>
    </filterColumn>
    <filterColumn colId="6" hiddenButton="0" showButton="1">
      <filters>
        <filter val="2"/>
      </filters>
    </filterColumn>
  </autoFilter>
  <conditionalFormatting sqref="A2:C3 A4:AD191 E2:AD3">
    <cfRule type="expression" priority="1" dxfId="1">
      <formula>$K2="MISMATCH"</formula>
    </cfRule>
    <cfRule type="expression" priority="2" dxfId="0">
      <formula>$K2="EXACT_DUP"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3"/>
  <sheetViews>
    <sheetView tabSelected="1" topLeftCell="A154" workbookViewId="0">
      <selection activeCell="B160" sqref="B160"/>
    </sheetView>
  </sheetViews>
  <sheetFormatPr baseColWidth="10" defaultRowHeight="16"/>
  <cols>
    <col width="10.83203125" customWidth="1" style="9" min="1" max="1"/>
    <col width="55.1640625" bestFit="1" customWidth="1" style="9" min="2" max="2"/>
    <col width="11.5" bestFit="1" customWidth="1" style="9" min="3" max="3"/>
    <col width="33.1640625" bestFit="1" customWidth="1" style="9" min="4" max="4"/>
    <col width="9.6640625" bestFit="1" customWidth="1" style="9" min="5" max="5"/>
    <col width="17.6640625" bestFit="1" customWidth="1" style="9" min="6" max="6"/>
    <col width="6.33203125" bestFit="1" customWidth="1" style="9" min="7" max="7"/>
    <col width="11.1640625" bestFit="1" customWidth="1" style="9" min="8" max="8"/>
    <col width="10.83203125" customWidth="1" style="9" min="9" max="9"/>
    <col width="10.83203125" customWidth="1" style="9" min="10" max="16384"/>
  </cols>
  <sheetData>
    <row r="1"/>
    <row r="2">
      <c r="B2" s="8" t="inlineStr">
        <is>
          <t>Module output</t>
        </is>
      </c>
      <c r="C2" s="8" t="inlineStr">
        <is>
          <t>Module name</t>
        </is>
      </c>
      <c r="D2" s="8" t="inlineStr">
        <is>
          <t>Property category</t>
        </is>
      </c>
      <c r="E2" s="8" t="inlineStr">
        <is>
          <t>Sample size</t>
        </is>
      </c>
      <c r="F2" s="8" t="inlineStr">
        <is>
          <t>Spearman correlation</t>
        </is>
      </c>
      <c r="G2" s="8" t="inlineStr">
        <is>
          <t>AuROC</t>
        </is>
      </c>
      <c r="H2" s="8" t="inlineStr">
        <is>
          <t>Positive ratio</t>
        </is>
      </c>
    </row>
    <row r="3">
      <c r="B3" s="10" t="inlineStr">
        <is>
          <t>AbLang Perplexity</t>
        </is>
      </c>
      <c r="C3" s="10" t="inlineStr">
        <is>
          <t>AbLang2-Perplexity</t>
        </is>
      </c>
      <c r="D3" s="9" t="inlineStr">
        <is>
          <t>Titer</t>
        </is>
      </c>
      <c r="E3" s="9" t="n">
        <v>4671</v>
      </c>
      <c r="F3" s="9" t="inlineStr">
        <is>
          <t>-0.382***</t>
        </is>
      </c>
      <c r="G3" s="9" t="n">
        <v>0.759</v>
      </c>
      <c r="H3" s="9" t="n">
        <v>0.316</v>
      </c>
    </row>
    <row r="4">
      <c r="B4" s="10" t="inlineStr">
        <is>
          <t>AbLang Log-likehood</t>
        </is>
      </c>
      <c r="C4" s="10" t="inlineStr">
        <is>
          <t>AbLang2-Perplexity</t>
        </is>
      </c>
      <c r="D4" s="9" t="inlineStr">
        <is>
          <t>Titer</t>
        </is>
      </c>
      <c r="E4" s="9" t="n">
        <v>4671</v>
      </c>
      <c r="F4" s="9" t="inlineStr">
        <is>
          <t xml:space="preserve"> 0.382***</t>
        </is>
      </c>
      <c r="G4" s="9" t="n">
        <v>0.759</v>
      </c>
      <c r="H4" s="9" t="n">
        <v>0.316</v>
      </c>
    </row>
    <row r="5">
      <c r="B5" s="10" t="inlineStr">
        <is>
          <t>AbLang Perplexity</t>
        </is>
      </c>
      <c r="C5" s="10" t="inlineStr">
        <is>
          <t>AbLang2-Perplexity</t>
        </is>
      </c>
      <c r="D5" s="9" t="inlineStr">
        <is>
          <t>Analytical Size Exclusion Chromatography</t>
        </is>
      </c>
      <c r="E5" s="9" t="n">
        <v>1611</v>
      </c>
      <c r="F5" s="9" t="inlineStr">
        <is>
          <t xml:space="preserve"> 0.022   </t>
        </is>
      </c>
      <c r="G5" s="9" t="n">
        <v>0.518</v>
      </c>
      <c r="H5" s="9" t="n">
        <v>0.603</v>
      </c>
    </row>
    <row r="6">
      <c r="B6" s="10" t="inlineStr">
        <is>
          <t>AbLang Log-likehood</t>
        </is>
      </c>
      <c r="C6" s="10" t="inlineStr">
        <is>
          <t>AbLang2-Perplexity</t>
        </is>
      </c>
      <c r="D6" s="9" t="inlineStr">
        <is>
          <t>Analytical Size Exclusion Chromatography</t>
        </is>
      </c>
      <c r="E6" s="9" t="n">
        <v>1611</v>
      </c>
      <c r="F6" s="9" t="inlineStr">
        <is>
          <t xml:space="preserve">-0.022   </t>
        </is>
      </c>
      <c r="G6" s="9" t="n">
        <v>0.518</v>
      </c>
      <c r="H6" s="9" t="n">
        <v>0.603</v>
      </c>
    </row>
    <row r="7">
      <c r="B7" s="10" t="inlineStr">
        <is>
          <t>AbLang Perplexity</t>
        </is>
      </c>
      <c r="C7" s="10" t="inlineStr">
        <is>
          <t>AbLang2-Perplexity</t>
        </is>
      </c>
      <c r="D7" s="9" t="inlineStr">
        <is>
          <t>Thermostability (onset)</t>
        </is>
      </c>
      <c r="E7" s="9" t="n">
        <v>1565</v>
      </c>
      <c r="F7" s="9" t="inlineStr">
        <is>
          <t>-0.159***</t>
        </is>
      </c>
      <c r="G7" s="9" t="n">
        <v>0.579</v>
      </c>
      <c r="H7" s="9" t="n">
        <v>0.613</v>
      </c>
    </row>
    <row r="8">
      <c r="B8" s="10" t="inlineStr">
        <is>
          <t>AbLang Log-likehood</t>
        </is>
      </c>
      <c r="C8" s="10" t="inlineStr">
        <is>
          <t>AbLang2-Perplexity</t>
        </is>
      </c>
      <c r="D8" s="9" t="inlineStr">
        <is>
          <t>Thermostability (onset)</t>
        </is>
      </c>
      <c r="E8" s="9" t="n">
        <v>1565</v>
      </c>
      <c r="F8" s="9" t="inlineStr">
        <is>
          <t xml:space="preserve"> 0.159***</t>
        </is>
      </c>
      <c r="G8" s="9" t="n">
        <v>0.579</v>
      </c>
      <c r="H8" s="9" t="n">
        <v>0.613</v>
      </c>
    </row>
    <row r="9">
      <c r="B9" s="10" t="inlineStr">
        <is>
          <t>AbLang Perplexity</t>
        </is>
      </c>
      <c r="C9" s="10" t="inlineStr">
        <is>
          <t>AbLang2-Perplexity</t>
        </is>
      </c>
      <c r="D9" s="9" t="inlineStr">
        <is>
          <t>Thermostability (Tm1)</t>
        </is>
      </c>
      <c r="E9" s="9" t="n">
        <v>1568</v>
      </c>
      <c r="F9" s="9" t="inlineStr">
        <is>
          <t>-0.140***</t>
        </is>
      </c>
      <c r="G9" s="9" t="n">
        <v>0.553</v>
      </c>
      <c r="H9" s="9" t="n">
        <v>0.582</v>
      </c>
    </row>
    <row r="10">
      <c r="B10" s="10" t="inlineStr">
        <is>
          <t>AbLang Log-likehood</t>
        </is>
      </c>
      <c r="C10" s="10" t="inlineStr">
        <is>
          <t>AbLang2-Perplexity</t>
        </is>
      </c>
      <c r="D10" s="9" t="inlineStr">
        <is>
          <t>Thermostability (Tm1)</t>
        </is>
      </c>
      <c r="E10" s="9" t="n">
        <v>1568</v>
      </c>
      <c r="F10" s="9" t="inlineStr">
        <is>
          <t xml:space="preserve"> 0.140***</t>
        </is>
      </c>
      <c r="G10" s="9" t="n">
        <v>0.553</v>
      </c>
      <c r="H10" s="9" t="n">
        <v>0.582</v>
      </c>
    </row>
    <row r="11">
      <c r="B11" s="10" t="inlineStr">
        <is>
          <t>AbLang Perplexity</t>
        </is>
      </c>
      <c r="C11" s="10" t="inlineStr">
        <is>
          <t>AbLang2-Perplexity</t>
        </is>
      </c>
      <c r="D11" s="9" t="inlineStr">
        <is>
          <t>Thermostability (Tm2)</t>
        </is>
      </c>
      <c r="E11" s="9" t="n">
        <v>1196</v>
      </c>
      <c r="F11" s="9" t="inlineStr">
        <is>
          <t xml:space="preserve">-0.053   </t>
        </is>
      </c>
      <c r="G11" s="9" t="n">
        <v>0.552</v>
      </c>
      <c r="H11" s="9" t="n">
        <v>0.635</v>
      </c>
    </row>
    <row r="12">
      <c r="B12" s="10" t="inlineStr">
        <is>
          <t>AbLang Log-likehood</t>
        </is>
      </c>
      <c r="C12" s="10" t="inlineStr">
        <is>
          <t>AbLang2-Perplexity</t>
        </is>
      </c>
      <c r="D12" s="9" t="inlineStr">
        <is>
          <t>Thermostability (Tm2)</t>
        </is>
      </c>
      <c r="E12" s="9" t="n">
        <v>1196</v>
      </c>
      <c r="F12" s="9" t="inlineStr">
        <is>
          <t xml:space="preserve"> 0.053   </t>
        </is>
      </c>
      <c r="G12" s="9" t="n">
        <v>0.552</v>
      </c>
      <c r="H12" s="9" t="n">
        <v>0.635</v>
      </c>
    </row>
    <row r="13">
      <c r="B13" s="10" t="inlineStr">
        <is>
          <t>AbLang Perplexity</t>
        </is>
      </c>
      <c r="C13" s="10" t="inlineStr">
        <is>
          <t>AbLang2-Perplexity</t>
        </is>
      </c>
      <c r="D13" s="9" t="inlineStr">
        <is>
          <t>Thermostability (Tm3)</t>
        </is>
      </c>
      <c r="E13" s="9" t="n">
        <v>189</v>
      </c>
      <c r="F13" s="9" t="inlineStr">
        <is>
          <t xml:space="preserve"> 0.057   </t>
        </is>
      </c>
      <c r="G13" s="9" t="n">
        <v>0.553</v>
      </c>
      <c r="H13" s="9" t="n">
        <v>0.423</v>
      </c>
    </row>
    <row r="14">
      <c r="B14" s="10" t="inlineStr">
        <is>
          <t>AbLang Log-likehood</t>
        </is>
      </c>
      <c r="C14" s="10" t="inlineStr">
        <is>
          <t>AbLang2-Perplexity</t>
        </is>
      </c>
      <c r="D14" s="9" t="inlineStr">
        <is>
          <t>Thermostability (Tm3)</t>
        </is>
      </c>
      <c r="E14" s="9" t="n">
        <v>189</v>
      </c>
      <c r="F14" s="9" t="inlineStr">
        <is>
          <t xml:space="preserve">-0.057   </t>
        </is>
      </c>
      <c r="G14" s="9" t="n">
        <v>0.553</v>
      </c>
      <c r="H14" s="9" t="n">
        <v>0.423</v>
      </c>
    </row>
    <row r="15">
      <c r="B15" s="10" t="inlineStr">
        <is>
          <t>AbLang Perplexity</t>
        </is>
      </c>
      <c r="C15" s="10" t="inlineStr">
        <is>
          <t>AbLang2-Perplexity</t>
        </is>
      </c>
      <c r="D15" s="9" t="inlineStr">
        <is>
          <t>Aggregation (Polydispersity idx)</t>
        </is>
      </c>
      <c r="E15" s="9" t="n">
        <v>1435</v>
      </c>
      <c r="F15" s="9" t="inlineStr">
        <is>
          <t xml:space="preserve"> 0.127***</t>
        </is>
      </c>
      <c r="G15" s="9" t="n">
        <v>0.449</v>
      </c>
      <c r="H15" s="9" t="n">
        <v>0.762</v>
      </c>
    </row>
    <row r="16">
      <c r="B16" s="10" t="inlineStr">
        <is>
          <t>AbLang Log-likehood</t>
        </is>
      </c>
      <c r="C16" s="10" t="inlineStr">
        <is>
          <t>AbLang2-Perplexity</t>
        </is>
      </c>
      <c r="D16" s="9" t="inlineStr">
        <is>
          <t>Aggregation (Polydispersity idx)</t>
        </is>
      </c>
      <c r="E16" s="9" t="n">
        <v>1435</v>
      </c>
      <c r="F16" s="9" t="inlineStr">
        <is>
          <t>-0.127***</t>
        </is>
      </c>
      <c r="G16" s="9" t="n">
        <v>0.449</v>
      </c>
      <c r="H16" s="9" t="n">
        <v>0.762</v>
      </c>
    </row>
    <row r="17">
      <c r="B17" s="10" t="inlineStr">
        <is>
          <t>AbLang Perplexity</t>
        </is>
      </c>
      <c r="C17" s="10" t="inlineStr">
        <is>
          <t>AbLang2-Perplexity</t>
        </is>
      </c>
      <c r="D17" s="9" t="inlineStr">
        <is>
          <t>Polyreactivity (absorbance)</t>
        </is>
      </c>
      <c r="E17" s="9" t="n">
        <v>1442</v>
      </c>
      <c r="F17" s="9" t="inlineStr">
        <is>
          <t xml:space="preserve"> 0.060*  </t>
        </is>
      </c>
      <c r="G17" s="9" t="n">
        <v>0.461</v>
      </c>
      <c r="H17" s="9" t="n">
        <v>0.6899999999999999</v>
      </c>
    </row>
    <row r="18">
      <c r="B18" s="10" t="inlineStr">
        <is>
          <t>AbLang Log-likehood</t>
        </is>
      </c>
      <c r="C18" s="10" t="inlineStr">
        <is>
          <t>AbLang2-Perplexity</t>
        </is>
      </c>
      <c r="D18" s="9" t="inlineStr">
        <is>
          <t>Polyreactivity (absorbance)</t>
        </is>
      </c>
      <c r="E18" s="9" t="n">
        <v>1442</v>
      </c>
      <c r="F18" s="9" t="inlineStr">
        <is>
          <t xml:space="preserve">-0.060*  </t>
        </is>
      </c>
      <c r="G18" s="9" t="n">
        <v>0.461</v>
      </c>
      <c r="H18" s="9" t="n">
        <v>0.6899999999999999</v>
      </c>
    </row>
    <row r="19">
      <c r="B19" s="10" t="inlineStr">
        <is>
          <t>AbLang Perplexity</t>
        </is>
      </c>
      <c r="C19" s="10" t="inlineStr">
        <is>
          <t>AbLang2-Perplexity</t>
        </is>
      </c>
      <c r="D19" s="9" t="inlineStr">
        <is>
          <t>Hydrophobicity</t>
        </is>
      </c>
      <c r="E19" s="9" t="n">
        <v>1442</v>
      </c>
      <c r="F19" s="9" t="inlineStr">
        <is>
          <t xml:space="preserve"> 0.001   </t>
        </is>
      </c>
      <c r="G19" s="9" t="inlineStr">
        <is>
          <t>-</t>
        </is>
      </c>
      <c r="H19" s="9" t="inlineStr">
        <is>
          <t>-</t>
        </is>
      </c>
    </row>
    <row r="20">
      <c r="B20" s="10" t="inlineStr">
        <is>
          <t>AbLang Log-likehood</t>
        </is>
      </c>
      <c r="C20" s="10" t="inlineStr">
        <is>
          <t>AbLang2-Perplexity</t>
        </is>
      </c>
      <c r="D20" s="9" t="inlineStr">
        <is>
          <t>Hydrophobicity</t>
        </is>
      </c>
      <c r="E20" s="9" t="n">
        <v>1442</v>
      </c>
      <c r="F20" s="9" t="inlineStr">
        <is>
          <t xml:space="preserve">-0.001   </t>
        </is>
      </c>
      <c r="G20" s="9" t="inlineStr">
        <is>
          <t>-</t>
        </is>
      </c>
      <c r="H20" s="9" t="inlineStr">
        <is>
          <t>-</t>
        </is>
      </c>
    </row>
    <row r="21">
      <c r="B21" s="10" t="inlineStr">
        <is>
          <t>Aggrescan Average aggregation score</t>
        </is>
      </c>
      <c r="C21" s="10" t="inlineStr">
        <is>
          <t>Aggrescan3D</t>
        </is>
      </c>
      <c r="D21" s="9" t="inlineStr">
        <is>
          <t>Aggregation (Polydispersity idx)</t>
        </is>
      </c>
      <c r="E21" s="9" t="n">
        <v>1435</v>
      </c>
      <c r="F21" s="9" t="inlineStr">
        <is>
          <t xml:space="preserve"> 0.012   </t>
        </is>
      </c>
      <c r="G21" s="9" t="n">
        <v>0.469</v>
      </c>
      <c r="H21" s="9" t="n">
        <v>0.762</v>
      </c>
    </row>
    <row r="22">
      <c r="B22" s="10" t="inlineStr">
        <is>
          <t>Aggrescan Minimum aggregation score in residues</t>
        </is>
      </c>
      <c r="C22" s="10" t="inlineStr">
        <is>
          <t>Aggrescan3D</t>
        </is>
      </c>
      <c r="D22" s="9" t="inlineStr">
        <is>
          <t>Aggregation (Polydispersity idx)</t>
        </is>
      </c>
      <c r="E22" s="9" t="n">
        <v>1435</v>
      </c>
      <c r="F22" s="9" t="inlineStr">
        <is>
          <t xml:space="preserve"> 0.014   </t>
        </is>
      </c>
      <c r="G22" s="9" t="n">
        <v>0.491</v>
      </c>
      <c r="H22" s="9" t="n">
        <v>0.762</v>
      </c>
    </row>
    <row r="23"/>
    <row r="24">
      <c r="B24" s="8" t="inlineStr">
        <is>
          <t>Module output</t>
        </is>
      </c>
      <c r="C24" s="8" t="inlineStr">
        <is>
          <t>Module name</t>
        </is>
      </c>
      <c r="D24" s="8" t="inlineStr">
        <is>
          <t>Property category</t>
        </is>
      </c>
      <c r="E24" s="8" t="inlineStr">
        <is>
          <t>Sample size</t>
        </is>
      </c>
      <c r="F24" s="8" t="inlineStr">
        <is>
          <t>Spearman correlation</t>
        </is>
      </c>
      <c r="G24" s="8" t="inlineStr">
        <is>
          <t>AuROC</t>
        </is>
      </c>
      <c r="H24" s="8" t="inlineStr">
        <is>
          <t>Positive ratio</t>
        </is>
      </c>
    </row>
    <row r="25">
      <c r="B25" s="11" t="inlineStr">
        <is>
          <t>Aggrescan Maximum aggregation score in residues</t>
        </is>
      </c>
      <c r="C25" s="11" t="inlineStr">
        <is>
          <t>Aggrescan3D</t>
        </is>
      </c>
      <c r="D25" s="9" t="inlineStr">
        <is>
          <t>Aggregation (Polydispersity idx)</t>
        </is>
      </c>
      <c r="E25" s="9" t="n">
        <v>1435</v>
      </c>
      <c r="F25" s="9" t="inlineStr">
        <is>
          <t xml:space="preserve">-0.015   </t>
        </is>
      </c>
      <c r="G25" s="9" t="n">
        <v>0.497</v>
      </c>
      <c r="H25" s="9" t="n">
        <v>0.762</v>
      </c>
    </row>
    <row r="26">
      <c r="B26" s="11" t="inlineStr">
        <is>
          <t>ESM2 fine tuned for thermal_stability</t>
        </is>
      </c>
      <c r="C26" s="11" t="inlineStr">
        <is>
          <t>ESM2 Property Predictor</t>
        </is>
      </c>
      <c r="D26" s="9" t="inlineStr">
        <is>
          <t>Thermostability (onset)</t>
        </is>
      </c>
      <c r="E26" s="9" t="n">
        <v>1565</v>
      </c>
      <c r="F26" s="9" t="inlineStr">
        <is>
          <t xml:space="preserve"> 0.077** </t>
        </is>
      </c>
      <c r="G26" s="9" t="n">
        <v>0.537</v>
      </c>
      <c r="H26" s="9" t="n">
        <v>0.613</v>
      </c>
    </row>
    <row r="27">
      <c r="B27" s="11" t="inlineStr">
        <is>
          <t>ESM2 fine tuned for degradation_stability</t>
        </is>
      </c>
      <c r="C27" s="11" t="inlineStr">
        <is>
          <t>ESM2 Property Predictor</t>
        </is>
      </c>
      <c r="D27" s="9" t="inlineStr">
        <is>
          <t>Thermostability (onset)</t>
        </is>
      </c>
      <c r="E27" s="9" t="n">
        <v>1565</v>
      </c>
      <c r="F27" s="9" t="inlineStr">
        <is>
          <t xml:space="preserve"> 0.180***</t>
        </is>
      </c>
      <c r="G27" s="9" t="n">
        <v>0.595</v>
      </c>
      <c r="H27" s="9" t="n">
        <v>0.613</v>
      </c>
    </row>
    <row r="28">
      <c r="B28" s="11" t="inlineStr">
        <is>
          <t>ESM2 fine tuned for thermal_stability</t>
        </is>
      </c>
      <c r="C28" s="11" t="inlineStr">
        <is>
          <t>ESM2 Property Predictor</t>
        </is>
      </c>
      <c r="D28" s="9" t="inlineStr">
        <is>
          <t>Thermostability (Tm1)</t>
        </is>
      </c>
      <c r="E28" s="9" t="n">
        <v>1568</v>
      </c>
      <c r="F28" s="9" t="inlineStr">
        <is>
          <t xml:space="preserve"> 0.094***</t>
        </is>
      </c>
      <c r="G28" s="9" t="n">
        <v>0.543</v>
      </c>
      <c r="H28" s="9" t="n">
        <v>0.582</v>
      </c>
    </row>
    <row r="29">
      <c r="B29" s="11" t="inlineStr">
        <is>
          <t>ESM2 fine tuned for degradation_stability</t>
        </is>
      </c>
      <c r="C29" s="11" t="inlineStr">
        <is>
          <t>ESM2 Property Predictor</t>
        </is>
      </c>
      <c r="D29" s="9" t="inlineStr">
        <is>
          <t>Thermostability (Tm1)</t>
        </is>
      </c>
      <c r="E29" s="9" t="n">
        <v>1568</v>
      </c>
      <c r="F29" s="9" t="inlineStr">
        <is>
          <t xml:space="preserve"> 0.178***</t>
        </is>
      </c>
      <c r="G29" s="9" t="n">
        <v>0.591</v>
      </c>
      <c r="H29" s="9" t="n">
        <v>0.582</v>
      </c>
    </row>
    <row r="30">
      <c r="B30" s="11" t="inlineStr">
        <is>
          <t>ESM2 fine tuned for thermal_stability</t>
        </is>
      </c>
      <c r="C30" s="11" t="inlineStr">
        <is>
          <t>ESM2 Property Predictor</t>
        </is>
      </c>
      <c r="D30" s="9" t="inlineStr">
        <is>
          <t>Thermostability (Tm2)</t>
        </is>
      </c>
      <c r="E30" s="9" t="n">
        <v>1196</v>
      </c>
      <c r="F30" s="9" t="inlineStr">
        <is>
          <t xml:space="preserve"> 0.026   </t>
        </is>
      </c>
      <c r="G30" s="9" t="n">
        <v>0.5600000000000001</v>
      </c>
      <c r="H30" s="9" t="n">
        <v>0.635</v>
      </c>
    </row>
    <row r="31">
      <c r="B31" s="11" t="inlineStr">
        <is>
          <t>ESM2 fine tuned for degradation_stability</t>
        </is>
      </c>
      <c r="C31" s="11" t="inlineStr">
        <is>
          <t>ESM2 Property Predictor</t>
        </is>
      </c>
      <c r="D31" s="9" t="inlineStr">
        <is>
          <t>Thermostability (Tm2)</t>
        </is>
      </c>
      <c r="E31" s="9" t="n">
        <v>1196</v>
      </c>
      <c r="F31" s="9" t="inlineStr">
        <is>
          <t xml:space="preserve"> 0.139***</t>
        </is>
      </c>
      <c r="G31" s="9" t="n">
        <v>0.5590000000000001</v>
      </c>
      <c r="H31" s="9" t="n">
        <v>0.635</v>
      </c>
    </row>
    <row r="32">
      <c r="B32" s="11" t="inlineStr">
        <is>
          <t>ESM2 fine tuned for thermal_stability</t>
        </is>
      </c>
      <c r="C32" s="11" t="inlineStr">
        <is>
          <t>ESM2 Property Predictor</t>
        </is>
      </c>
      <c r="D32" s="9" t="inlineStr">
        <is>
          <t>Thermostability (Tm3)</t>
        </is>
      </c>
      <c r="E32" s="9" t="n">
        <v>189</v>
      </c>
      <c r="F32" s="9" t="inlineStr">
        <is>
          <t xml:space="preserve">-0.020   </t>
        </is>
      </c>
      <c r="G32" s="9" t="n">
        <v>0.496</v>
      </c>
      <c r="H32" s="9" t="n">
        <v>0.423</v>
      </c>
    </row>
    <row r="33">
      <c r="B33" s="11" t="inlineStr">
        <is>
          <t>ESM2 fine tuned for degradation_stability</t>
        </is>
      </c>
      <c r="C33" s="11" t="inlineStr">
        <is>
          <t>ESM2 Property Predictor</t>
        </is>
      </c>
      <c r="D33" s="9" t="inlineStr">
        <is>
          <t>Thermostability (Tm3)</t>
        </is>
      </c>
      <c r="E33" s="9" t="n">
        <v>189</v>
      </c>
      <c r="F33" s="9" t="inlineStr">
        <is>
          <t xml:space="preserve"> 0.248***</t>
        </is>
      </c>
      <c r="G33" s="9" t="n">
        <v>0.638</v>
      </c>
      <c r="H33" s="9" t="n">
        <v>0.423</v>
      </c>
    </row>
    <row r="34">
      <c r="B34" s="11" t="inlineStr">
        <is>
          <t>ESM2 fine tuned for degradation_stability</t>
        </is>
      </c>
      <c r="C34" s="11" t="inlineStr">
        <is>
          <t>ESM2 Property Predictor</t>
        </is>
      </c>
      <c r="D34" s="9" t="inlineStr">
        <is>
          <t>Aggregation (Polydispersity idx)</t>
        </is>
      </c>
      <c r="E34" s="9" t="n">
        <v>1435</v>
      </c>
      <c r="F34" s="9" t="inlineStr">
        <is>
          <t xml:space="preserve">-0.075** </t>
        </is>
      </c>
      <c r="G34" s="9" t="n">
        <v>0.497</v>
      </c>
      <c r="H34" s="9" t="n">
        <v>0.762</v>
      </c>
    </row>
    <row r="35">
      <c r="B35" s="11" t="inlineStr">
        <is>
          <t>ESM2 fine tuned for hydrophobicity</t>
        </is>
      </c>
      <c r="C35" s="11" t="inlineStr">
        <is>
          <t>ESM2 Property Predictor</t>
        </is>
      </c>
      <c r="D35" s="9" t="inlineStr">
        <is>
          <t>Hydrophobicity</t>
        </is>
      </c>
      <c r="E35" s="9" t="n">
        <v>1442</v>
      </c>
      <c r="F35" s="9" t="inlineStr">
        <is>
          <t xml:space="preserve"> 0.408***</t>
        </is>
      </c>
      <c r="G35" s="9" t="inlineStr">
        <is>
          <t>-</t>
        </is>
      </c>
      <c r="H35" s="9" t="inlineStr">
        <is>
          <t>-</t>
        </is>
      </c>
    </row>
    <row r="36">
      <c r="B36" s="11" t="inlineStr">
        <is>
          <t>FastDPE Total CDR length</t>
        </is>
      </c>
      <c r="C36" s="11" t="inlineStr">
        <is>
          <t>FastDPE</t>
        </is>
      </c>
      <c r="D36" s="9" t="inlineStr">
        <is>
          <t>Titer</t>
        </is>
      </c>
      <c r="E36" s="9" t="n">
        <v>4671</v>
      </c>
      <c r="F36" s="9" t="inlineStr">
        <is>
          <t>-0.131***</t>
        </is>
      </c>
      <c r="G36" s="9" t="n">
        <v>0.452</v>
      </c>
      <c r="H36" s="9" t="n">
        <v>0.316</v>
      </c>
    </row>
    <row r="37">
      <c r="B37" s="11" t="inlineStr">
        <is>
          <t>FastDPE Total CDR length-transformed</t>
        </is>
      </c>
      <c r="C37" s="11" t="inlineStr">
        <is>
          <t>FastDPE</t>
        </is>
      </c>
      <c r="D37" s="9" t="inlineStr">
        <is>
          <t>Titer</t>
        </is>
      </c>
      <c r="E37" s="9" t="n">
        <v>4671</v>
      </c>
      <c r="F37" s="9" t="inlineStr">
        <is>
          <t xml:space="preserve"> 0.092***</t>
        </is>
      </c>
      <c r="G37" s="9" t="n">
        <v>0.452</v>
      </c>
      <c r="H37" s="9" t="n">
        <v>0.316</v>
      </c>
    </row>
    <row r="38">
      <c r="B38" s="11" t="inlineStr">
        <is>
          <t>FastDPE Patches of Positive Charge (CDR-vicinity)</t>
        </is>
      </c>
      <c r="C38" s="11" t="inlineStr">
        <is>
          <t>FastDPE</t>
        </is>
      </c>
      <c r="D38" s="9" t="inlineStr">
        <is>
          <t>Titer</t>
        </is>
      </c>
      <c r="E38" s="9" t="n">
        <v>4671</v>
      </c>
      <c r="F38" s="9" t="inlineStr">
        <is>
          <t xml:space="preserve"> 0.091***</t>
        </is>
      </c>
      <c r="G38" s="9" t="n">
        <v>0.572</v>
      </c>
      <c r="H38" s="9" t="n">
        <v>0.316</v>
      </c>
    </row>
    <row r="39">
      <c r="B39" s="11" t="inlineStr">
        <is>
          <t>FastDPE Patches of Negative Charge (CDR-vicinity)</t>
        </is>
      </c>
      <c r="C39" s="11" t="inlineStr">
        <is>
          <t>FastDPE</t>
        </is>
      </c>
      <c r="D39" s="9" t="inlineStr">
        <is>
          <t>Titer</t>
        </is>
      </c>
      <c r="E39" s="9" t="n">
        <v>4671</v>
      </c>
      <c r="F39" s="9" t="inlineStr">
        <is>
          <t xml:space="preserve"> 0.122***</t>
        </is>
      </c>
      <c r="G39" s="9" t="n">
        <v>0.589</v>
      </c>
      <c r="H39" s="9" t="n">
        <v>0.316</v>
      </c>
    </row>
    <row r="40">
      <c r="B40" s="11" t="inlineStr">
        <is>
          <t>FastDPE Structural Fv Charge Symmetry Parameter</t>
        </is>
      </c>
      <c r="C40" s="11" t="inlineStr">
        <is>
          <t>FastDPE</t>
        </is>
      </c>
      <c r="D40" s="9" t="inlineStr">
        <is>
          <t>Titer</t>
        </is>
      </c>
      <c r="E40" s="9" t="n">
        <v>3723</v>
      </c>
      <c r="F40" s="9" t="inlineStr">
        <is>
          <t xml:space="preserve"> 0.199***</t>
        </is>
      </c>
      <c r="G40" s="9" t="n">
        <v>0.647</v>
      </c>
      <c r="H40" s="9" t="n">
        <v>0.268</v>
      </c>
    </row>
    <row r="41">
      <c r="B41" s="11" t="inlineStr">
        <is>
          <t>FastDPE Structural Fv Charge Symmetry Parameter-transformed</t>
        </is>
      </c>
      <c r="C41" s="11" t="inlineStr">
        <is>
          <t>FastDPE</t>
        </is>
      </c>
      <c r="D41" s="9" t="inlineStr">
        <is>
          <t>Titer</t>
        </is>
      </c>
      <c r="E41" s="9" t="n">
        <v>3723</v>
      </c>
      <c r="F41" s="9" t="inlineStr">
        <is>
          <t xml:space="preserve"> 0.199***</t>
        </is>
      </c>
      <c r="G41" s="9" t="n">
        <v>0.353</v>
      </c>
      <c r="H41" s="9" t="n">
        <v>0.268</v>
      </c>
    </row>
    <row r="42">
      <c r="B42" s="11" t="inlineStr">
        <is>
          <t>FastDPE Total CDR length</t>
        </is>
      </c>
      <c r="C42" s="11" t="inlineStr">
        <is>
          <t>FastDPE</t>
        </is>
      </c>
      <c r="D42" s="9" t="inlineStr">
        <is>
          <t>Analytical Size Exclusion Chromatography</t>
        </is>
      </c>
      <c r="E42" s="9" t="n">
        <v>1611</v>
      </c>
      <c r="F42" s="9" t="inlineStr">
        <is>
          <t>-0.172***</t>
        </is>
      </c>
      <c r="G42" s="9" t="n">
        <v>0.447</v>
      </c>
      <c r="H42" s="9" t="n">
        <v>0.603</v>
      </c>
    </row>
    <row r="43">
      <c r="B43" s="11" t="inlineStr">
        <is>
          <t>FastDPE Total CDR length-transformed</t>
        </is>
      </c>
      <c r="C43" s="11" t="inlineStr">
        <is>
          <t>FastDPE</t>
        </is>
      </c>
      <c r="D43" s="9" t="inlineStr">
        <is>
          <t>Analytical Size Exclusion Chromatography</t>
        </is>
      </c>
      <c r="E43" s="9" t="n">
        <v>1611</v>
      </c>
      <c r="F43" s="9" t="inlineStr">
        <is>
          <t xml:space="preserve"> 0.104***</t>
        </is>
      </c>
      <c r="G43" s="9" t="n">
        <v>0.487</v>
      </c>
      <c r="H43" s="9" t="n">
        <v>0.603</v>
      </c>
    </row>
    <row r="44">
      <c r="B44" s="11" t="inlineStr">
        <is>
          <t>FastDPE Patches of Positive Charge (CDR-vicinity)</t>
        </is>
      </c>
      <c r="C44" s="11" t="inlineStr">
        <is>
          <t>FastDPE</t>
        </is>
      </c>
      <c r="D44" s="9" t="inlineStr">
        <is>
          <t>Analytical Size Exclusion Chromatography</t>
        </is>
      </c>
      <c r="E44" s="9" t="n">
        <v>1611</v>
      </c>
      <c r="F44" s="9" t="inlineStr">
        <is>
          <t xml:space="preserve"> 0.156***</t>
        </is>
      </c>
      <c r="G44" s="9" t="n">
        <v>0.593</v>
      </c>
      <c r="H44" s="9" t="n">
        <v>0.603</v>
      </c>
    </row>
    <row r="45"/>
    <row r="46"/>
    <row r="47">
      <c r="B47" s="8" t="inlineStr">
        <is>
          <t>Module output</t>
        </is>
      </c>
      <c r="C47" s="8" t="inlineStr">
        <is>
          <t>Module name</t>
        </is>
      </c>
      <c r="D47" s="8" t="inlineStr">
        <is>
          <t>Property category</t>
        </is>
      </c>
      <c r="E47" s="8" t="inlineStr">
        <is>
          <t>Sample size</t>
        </is>
      </c>
      <c r="F47" s="8" t="inlineStr">
        <is>
          <t>Spearman correlation</t>
        </is>
      </c>
      <c r="G47" s="8" t="inlineStr">
        <is>
          <t>AuROC</t>
        </is>
      </c>
      <c r="H47" s="8" t="inlineStr">
        <is>
          <t>Positive ratio</t>
        </is>
      </c>
    </row>
    <row r="48">
      <c r="B48" s="11" t="inlineStr">
        <is>
          <t>FastDPE Patches of Negative Charge (CDR-vicinity)</t>
        </is>
      </c>
      <c r="C48" s="11" t="inlineStr">
        <is>
          <t>FastDPE</t>
        </is>
      </c>
      <c r="D48" s="9" t="inlineStr">
        <is>
          <t>Analytical Size Exclusion Chromatography</t>
        </is>
      </c>
      <c r="E48" s="9" t="n">
        <v>1611</v>
      </c>
      <c r="F48" s="9" t="inlineStr">
        <is>
          <t xml:space="preserve">-0.013   </t>
        </is>
      </c>
      <c r="G48" s="9" t="n">
        <v>0.476</v>
      </c>
      <c r="H48" s="9" t="n">
        <v>0.603</v>
      </c>
    </row>
    <row r="49">
      <c r="B49" s="11" t="inlineStr">
        <is>
          <t>FastDPE Structural Fv Charge Symmetry Parameter</t>
        </is>
      </c>
      <c r="C49" s="11" t="inlineStr">
        <is>
          <t>FastDPE</t>
        </is>
      </c>
      <c r="D49" s="9" t="inlineStr">
        <is>
          <t>Analytical Size Exclusion Chromatography</t>
        </is>
      </c>
      <c r="E49" s="9" t="n">
        <v>1102</v>
      </c>
      <c r="F49" s="9" t="inlineStr">
        <is>
          <t xml:space="preserve">-0.045   </t>
        </is>
      </c>
      <c r="G49" s="9" t="n">
        <v>0.492</v>
      </c>
      <c r="H49" s="9" t="n">
        <v>0.645</v>
      </c>
    </row>
    <row r="50">
      <c r="B50" s="11" t="inlineStr">
        <is>
          <t>FastDPE Structural Fv Charge Symmetry Parameter-transformed</t>
        </is>
      </c>
      <c r="C50" s="11" t="inlineStr">
        <is>
          <t>FastDPE</t>
        </is>
      </c>
      <c r="D50" s="9" t="inlineStr">
        <is>
          <t>Analytical Size Exclusion Chromatography</t>
        </is>
      </c>
      <c r="E50" s="9" t="n">
        <v>1102</v>
      </c>
      <c r="F50" s="9" t="inlineStr">
        <is>
          <t xml:space="preserve">-0.045   </t>
        </is>
      </c>
      <c r="G50" s="9" t="n">
        <v>0.508</v>
      </c>
      <c r="H50" s="9" t="n">
        <v>0.645</v>
      </c>
    </row>
    <row r="51">
      <c r="B51" s="11" t="inlineStr">
        <is>
          <t>FastDPE Total CDR length</t>
        </is>
      </c>
      <c r="C51" s="11" t="inlineStr">
        <is>
          <t>FastDPE</t>
        </is>
      </c>
      <c r="D51" s="9" t="inlineStr">
        <is>
          <t>Thermostability (onset)</t>
        </is>
      </c>
      <c r="E51" s="9" t="n">
        <v>1565</v>
      </c>
      <c r="F51" s="9" t="inlineStr">
        <is>
          <t xml:space="preserve"> 0.059*  </t>
        </is>
      </c>
      <c r="G51" s="9" t="n">
        <v>0.515</v>
      </c>
      <c r="H51" s="9" t="n">
        <v>0.613</v>
      </c>
    </row>
    <row r="52">
      <c r="B52" s="11" t="inlineStr">
        <is>
          <t>FastDPE Total CDR length-transformed</t>
        </is>
      </c>
      <c r="C52" s="11" t="inlineStr">
        <is>
          <t>FastDPE</t>
        </is>
      </c>
      <c r="D52" s="9" t="inlineStr">
        <is>
          <t>Thermostability (onset)</t>
        </is>
      </c>
      <c r="E52" s="9" t="n">
        <v>1565</v>
      </c>
      <c r="F52" s="9" t="inlineStr">
        <is>
          <t>-0.276***</t>
        </is>
      </c>
      <c r="G52" s="9" t="n">
        <v>0.636</v>
      </c>
      <c r="H52" s="9" t="n">
        <v>0.613</v>
      </c>
    </row>
    <row r="53">
      <c r="B53" s="11" t="inlineStr">
        <is>
          <t>FastDPE Patches of Positive Charge (CDR-vicinity)</t>
        </is>
      </c>
      <c r="C53" s="11" t="inlineStr">
        <is>
          <t>FastDPE</t>
        </is>
      </c>
      <c r="D53" s="9" t="inlineStr">
        <is>
          <t>Thermostability (onset)</t>
        </is>
      </c>
      <c r="E53" s="9" t="n">
        <v>1565</v>
      </c>
      <c r="F53" s="9" t="inlineStr">
        <is>
          <t xml:space="preserve"> 0.144***</t>
        </is>
      </c>
      <c r="G53" s="9" t="n">
        <v>0.574</v>
      </c>
      <c r="H53" s="9" t="n">
        <v>0.613</v>
      </c>
    </row>
    <row r="54">
      <c r="B54" s="11" t="inlineStr">
        <is>
          <t>FastDPE Patches of Negative Charge (CDR-vicinity)</t>
        </is>
      </c>
      <c r="C54" s="11" t="inlineStr">
        <is>
          <t>FastDPE</t>
        </is>
      </c>
      <c r="D54" s="9" t="inlineStr">
        <is>
          <t>Thermostability (onset)</t>
        </is>
      </c>
      <c r="E54" s="9" t="n">
        <v>1565</v>
      </c>
      <c r="F54" s="9" t="inlineStr">
        <is>
          <t>-0.086***</t>
        </is>
      </c>
      <c r="G54" s="9" t="n">
        <v>0.454</v>
      </c>
      <c r="H54" s="9" t="n">
        <v>0.613</v>
      </c>
    </row>
    <row r="55">
      <c r="B55" s="11" t="inlineStr">
        <is>
          <t>FastDPE Structural Fv Charge Symmetry Parameter</t>
        </is>
      </c>
      <c r="C55" s="11" t="inlineStr">
        <is>
          <t>FastDPE</t>
        </is>
      </c>
      <c r="D55" s="9" t="inlineStr">
        <is>
          <t>Thermostability (onset)</t>
        </is>
      </c>
      <c r="E55" s="9" t="n">
        <v>1097</v>
      </c>
      <c r="F55" s="9" t="inlineStr">
        <is>
          <t xml:space="preserve"> 0.160***</t>
        </is>
      </c>
      <c r="G55" s="9" t="n">
        <v>0.603</v>
      </c>
      <c r="H55" s="9" t="n">
        <v>0.704</v>
      </c>
    </row>
    <row r="56">
      <c r="B56" s="11" t="inlineStr">
        <is>
          <t>FastDPE Structural Fv Charge Symmetry Parameter-transformed</t>
        </is>
      </c>
      <c r="C56" s="11" t="inlineStr">
        <is>
          <t>FastDPE</t>
        </is>
      </c>
      <c r="D56" s="9" t="inlineStr">
        <is>
          <t>Thermostability (onset)</t>
        </is>
      </c>
      <c r="E56" s="9" t="n">
        <v>1097</v>
      </c>
      <c r="F56" s="9" t="inlineStr">
        <is>
          <t xml:space="preserve"> 0.160***</t>
        </is>
      </c>
      <c r="G56" s="9" t="n">
        <v>0.397</v>
      </c>
      <c r="H56" s="9" t="n">
        <v>0.704</v>
      </c>
    </row>
    <row r="57">
      <c r="B57" s="11" t="inlineStr">
        <is>
          <t>FastDPE Total CDR length</t>
        </is>
      </c>
      <c r="C57" s="11" t="inlineStr">
        <is>
          <t>FastDPE</t>
        </is>
      </c>
      <c r="D57" s="9" t="inlineStr">
        <is>
          <t>Thermostability (Tm1)</t>
        </is>
      </c>
      <c r="E57" s="9" t="n">
        <v>1568</v>
      </c>
      <c r="F57" s="9" t="inlineStr">
        <is>
          <t xml:space="preserve"> 0.022   </t>
        </is>
      </c>
      <c r="G57" s="9" t="n">
        <v>0.485</v>
      </c>
      <c r="H57" s="9" t="n">
        <v>0.582</v>
      </c>
    </row>
    <row r="58">
      <c r="B58" s="11" t="inlineStr">
        <is>
          <t>FastDPE Total CDR length-transformed</t>
        </is>
      </c>
      <c r="C58" s="11" t="inlineStr">
        <is>
          <t>FastDPE</t>
        </is>
      </c>
      <c r="D58" s="9" t="inlineStr">
        <is>
          <t>Thermostability (Tm1)</t>
        </is>
      </c>
      <c r="E58" s="9" t="n">
        <v>1568</v>
      </c>
      <c r="F58" s="9" t="inlineStr">
        <is>
          <t>-0.277***</t>
        </is>
      </c>
      <c r="G58" s="9" t="n">
        <v>0.607</v>
      </c>
      <c r="H58" s="9" t="n">
        <v>0.582</v>
      </c>
    </row>
    <row r="59">
      <c r="B59" s="11" t="inlineStr">
        <is>
          <t>FastDPE Patches of Positive Charge (CDR-vicinity)</t>
        </is>
      </c>
      <c r="C59" s="11" t="inlineStr">
        <is>
          <t>FastDPE</t>
        </is>
      </c>
      <c r="D59" s="9" t="inlineStr">
        <is>
          <t>Thermostability (Tm1)</t>
        </is>
      </c>
      <c r="E59" s="9" t="n">
        <v>1568</v>
      </c>
      <c r="F59" s="9" t="inlineStr">
        <is>
          <t xml:space="preserve"> 0.151***</t>
        </is>
      </c>
      <c r="G59" s="9" t="n">
        <v>0.583</v>
      </c>
      <c r="H59" s="9" t="n">
        <v>0.582</v>
      </c>
    </row>
    <row r="60">
      <c r="B60" s="11" t="inlineStr">
        <is>
          <t>FastDPE Patches of Negative Charge (CDR-vicinity)</t>
        </is>
      </c>
      <c r="C60" s="11" t="inlineStr">
        <is>
          <t>FastDPE</t>
        </is>
      </c>
      <c r="D60" s="9" t="inlineStr">
        <is>
          <t>Thermostability (Tm1)</t>
        </is>
      </c>
      <c r="E60" s="9" t="n">
        <v>1568</v>
      </c>
      <c r="F60" s="9" t="inlineStr">
        <is>
          <t>-0.111***</t>
        </is>
      </c>
      <c r="G60" s="9" t="n">
        <v>0.461</v>
      </c>
      <c r="H60" s="9" t="n">
        <v>0.582</v>
      </c>
    </row>
    <row r="61">
      <c r="B61" s="11" t="inlineStr">
        <is>
          <t>FastDPE Structural Fv Charge Symmetry Parameter</t>
        </is>
      </c>
      <c r="C61" s="11" t="inlineStr">
        <is>
          <t>FastDPE</t>
        </is>
      </c>
      <c r="D61" s="9" t="inlineStr">
        <is>
          <t>Thermostability (Tm1)</t>
        </is>
      </c>
      <c r="E61" s="9" t="n">
        <v>1100</v>
      </c>
      <c r="F61" s="9" t="inlineStr">
        <is>
          <t xml:space="preserve"> 0.168***</t>
        </is>
      </c>
      <c r="G61" s="9" t="n">
        <v>0.602</v>
      </c>
      <c r="H61" s="9" t="n">
        <v>0.665</v>
      </c>
    </row>
    <row r="62">
      <c r="B62" s="11" t="inlineStr">
        <is>
          <t>FastDPE Structural Fv Charge Symmetry Parameter-transformed</t>
        </is>
      </c>
      <c r="C62" s="11" t="inlineStr">
        <is>
          <t>FastDPE</t>
        </is>
      </c>
      <c r="D62" s="9" t="inlineStr">
        <is>
          <t>Thermostability (Tm1)</t>
        </is>
      </c>
      <c r="E62" s="9" t="n">
        <v>1100</v>
      </c>
      <c r="F62" s="9" t="inlineStr">
        <is>
          <t xml:space="preserve"> 0.168***</t>
        </is>
      </c>
      <c r="G62" s="9" t="n">
        <v>0.398</v>
      </c>
      <c r="H62" s="9" t="n">
        <v>0.665</v>
      </c>
    </row>
    <row r="63">
      <c r="B63" s="11" t="inlineStr">
        <is>
          <t>FastDPE Total CDR length</t>
        </is>
      </c>
      <c r="C63" s="11" t="inlineStr">
        <is>
          <t>FastDPE</t>
        </is>
      </c>
      <c r="D63" s="9" t="inlineStr">
        <is>
          <t>Thermostability (Tm2)</t>
        </is>
      </c>
      <c r="E63" s="9" t="n">
        <v>1196</v>
      </c>
      <c r="F63" s="9" t="inlineStr">
        <is>
          <t xml:space="preserve"> 0.046   </t>
        </is>
      </c>
      <c r="G63" s="9" t="n">
        <v>0.516</v>
      </c>
      <c r="H63" s="9" t="n">
        <v>0.635</v>
      </c>
    </row>
    <row r="64">
      <c r="B64" s="11" t="inlineStr">
        <is>
          <t>FastDPE Total CDR length-transformed</t>
        </is>
      </c>
      <c r="C64" s="11" t="inlineStr">
        <is>
          <t>FastDPE</t>
        </is>
      </c>
      <c r="D64" s="9" t="inlineStr">
        <is>
          <t>Thermostability (Tm2)</t>
        </is>
      </c>
      <c r="E64" s="9" t="n">
        <v>1196</v>
      </c>
      <c r="F64" s="9" t="inlineStr">
        <is>
          <t>-0.115***</t>
        </is>
      </c>
      <c r="G64" s="9" t="n">
        <v>0.556</v>
      </c>
      <c r="H64" s="9" t="n">
        <v>0.635</v>
      </c>
    </row>
    <row r="65">
      <c r="B65" s="11" t="inlineStr">
        <is>
          <t>FastDPE Patches of Positive Charge (CDR-vicinity)</t>
        </is>
      </c>
      <c r="C65" s="11" t="inlineStr">
        <is>
          <t>FastDPE</t>
        </is>
      </c>
      <c r="D65" s="9" t="inlineStr">
        <is>
          <t>Thermostability (Tm2)</t>
        </is>
      </c>
      <c r="E65" s="9" t="n">
        <v>1196</v>
      </c>
      <c r="F65" s="9" t="inlineStr">
        <is>
          <t xml:space="preserve"> 0.024   </t>
        </is>
      </c>
      <c r="G65" s="9" t="n">
        <v>0.516</v>
      </c>
      <c r="H65" s="9" t="n">
        <v>0.635</v>
      </c>
    </row>
    <row r="66">
      <c r="B66" s="11" t="inlineStr">
        <is>
          <t>FastDPE Patches of Negative Charge (CDR-vicinity)</t>
        </is>
      </c>
      <c r="C66" s="11" t="inlineStr">
        <is>
          <t>FastDPE</t>
        </is>
      </c>
      <c r="D66" s="9" t="inlineStr">
        <is>
          <t>Thermostability (Tm2)</t>
        </is>
      </c>
      <c r="E66" s="9" t="n">
        <v>1196</v>
      </c>
      <c r="F66" s="9" t="inlineStr">
        <is>
          <t xml:space="preserve">-0.006   </t>
        </is>
      </c>
      <c r="G66" s="9" t="n">
        <v>0.475</v>
      </c>
      <c r="H66" s="9" t="n">
        <v>0.635</v>
      </c>
    </row>
    <row r="67">
      <c r="B67" s="11" t="inlineStr">
        <is>
          <t>FastDPE Structural Fv Charge Symmetry Parameter</t>
        </is>
      </c>
      <c r="C67" s="11" t="inlineStr">
        <is>
          <t>FastDPE</t>
        </is>
      </c>
      <c r="D67" s="9" t="inlineStr">
        <is>
          <t>Thermostability (Tm2)</t>
        </is>
      </c>
      <c r="E67" s="9" t="n">
        <v>763</v>
      </c>
      <c r="F67" s="9" t="inlineStr">
        <is>
          <t xml:space="preserve"> 0.079*  </t>
        </is>
      </c>
      <c r="G67" s="9" t="n">
        <v>0.514</v>
      </c>
      <c r="H67" s="9" t="n">
        <v>0.672</v>
      </c>
    </row>
    <row r="68"/>
    <row r="69"/>
    <row r="70">
      <c r="B70" s="8" t="inlineStr">
        <is>
          <t>Module output</t>
        </is>
      </c>
      <c r="C70" s="8" t="inlineStr">
        <is>
          <t>Module name</t>
        </is>
      </c>
      <c r="D70" s="8" t="inlineStr">
        <is>
          <t>Property category</t>
        </is>
      </c>
      <c r="E70" s="8" t="inlineStr">
        <is>
          <t>Sample size</t>
        </is>
      </c>
      <c r="F70" s="8" t="inlineStr">
        <is>
          <t>Spearman correlation</t>
        </is>
      </c>
      <c r="G70" s="8" t="inlineStr">
        <is>
          <t>AuROC</t>
        </is>
      </c>
      <c r="H70" s="8" t="inlineStr">
        <is>
          <t>Positive ratio</t>
        </is>
      </c>
    </row>
    <row r="71">
      <c r="B71" s="11" t="inlineStr">
        <is>
          <t>FastDPE Structural Fv Charge Symmetry Parameter-transformed</t>
        </is>
      </c>
      <c r="C71" s="11" t="inlineStr">
        <is>
          <t>FastDPE</t>
        </is>
      </c>
      <c r="D71" s="9" t="inlineStr">
        <is>
          <t>Thermostability (Tm2)</t>
        </is>
      </c>
      <c r="E71" s="9" t="n">
        <v>763</v>
      </c>
      <c r="F71" s="9" t="inlineStr">
        <is>
          <t xml:space="preserve"> 0.079*  </t>
        </is>
      </c>
      <c r="G71" s="9" t="n">
        <v>0.486</v>
      </c>
      <c r="H71" s="9" t="n">
        <v>0.672</v>
      </c>
    </row>
    <row r="72">
      <c r="B72" s="11" t="inlineStr">
        <is>
          <t>FastDPE Total CDR length</t>
        </is>
      </c>
      <c r="C72" s="11" t="inlineStr">
        <is>
          <t>FastDPE</t>
        </is>
      </c>
      <c r="D72" s="9" t="inlineStr">
        <is>
          <t>Thermostability (Tm3)</t>
        </is>
      </c>
      <c r="E72" s="9" t="n">
        <v>189</v>
      </c>
      <c r="F72" s="9" t="inlineStr">
        <is>
          <t xml:space="preserve"> 0.153*  </t>
        </is>
      </c>
      <c r="G72" s="9" t="n">
        <v>0.623</v>
      </c>
      <c r="H72" s="9" t="n">
        <v>0.423</v>
      </c>
    </row>
    <row r="73">
      <c r="B73" s="11" t="inlineStr">
        <is>
          <t>FastDPE Total CDR length-transformed</t>
        </is>
      </c>
      <c r="C73" s="11" t="inlineStr">
        <is>
          <t>FastDPE</t>
        </is>
      </c>
      <c r="D73" s="9" t="inlineStr">
        <is>
          <t>Thermostability (Tm3)</t>
        </is>
      </c>
      <c r="E73" s="9" t="n">
        <v>189</v>
      </c>
      <c r="F73" s="9" t="inlineStr">
        <is>
          <t>-0.251***</t>
        </is>
      </c>
      <c r="G73" s="9" t="n">
        <v>0.696</v>
      </c>
      <c r="H73" s="9" t="n">
        <v>0.423</v>
      </c>
    </row>
    <row r="74">
      <c r="B74" s="11" t="inlineStr">
        <is>
          <t>FastDPE Patches of Positive Charge (CDR-vicinity)</t>
        </is>
      </c>
      <c r="C74" s="11" t="inlineStr">
        <is>
          <t>FastDPE</t>
        </is>
      </c>
      <c r="D74" s="9" t="inlineStr">
        <is>
          <t>Thermostability (Tm3)</t>
        </is>
      </c>
      <c r="E74" s="9" t="n">
        <v>189</v>
      </c>
      <c r="F74" s="9" t="inlineStr">
        <is>
          <t xml:space="preserve"> 0.022   </t>
        </is>
      </c>
      <c r="G74" s="9" t="n">
        <v>0.507</v>
      </c>
      <c r="H74" s="9" t="n">
        <v>0.423</v>
      </c>
    </row>
    <row r="75">
      <c r="B75" s="11" t="inlineStr">
        <is>
          <t>FastDPE Patches of Negative Charge (CDR-vicinity)</t>
        </is>
      </c>
      <c r="C75" s="11" t="inlineStr">
        <is>
          <t>FastDPE</t>
        </is>
      </c>
      <c r="D75" s="9" t="inlineStr">
        <is>
          <t>Thermostability (Tm3)</t>
        </is>
      </c>
      <c r="E75" s="9" t="n">
        <v>189</v>
      </c>
      <c r="F75" s="9" t="inlineStr">
        <is>
          <t xml:space="preserve"> 0.222** </t>
        </is>
      </c>
      <c r="G75" s="9" t="n">
        <v>0.659</v>
      </c>
      <c r="H75" s="9" t="n">
        <v>0.423</v>
      </c>
    </row>
    <row r="76">
      <c r="B76" s="11" t="inlineStr">
        <is>
          <t>FastDPE Structural Fv Charge Symmetry Parameter</t>
        </is>
      </c>
      <c r="C76" s="11" t="inlineStr">
        <is>
          <t>FastDPE</t>
        </is>
      </c>
      <c r="D76" s="9" t="inlineStr">
        <is>
          <t>Thermostability (Tm3)</t>
        </is>
      </c>
      <c r="E76" s="9" t="n">
        <v>45</v>
      </c>
      <c r="F76" s="9" t="inlineStr">
        <is>
          <t xml:space="preserve">-0.010   </t>
        </is>
      </c>
      <c r="G76" s="9" t="n">
        <v>0.489</v>
      </c>
      <c r="H76" s="9" t="n">
        <v>0.511</v>
      </c>
    </row>
    <row r="77">
      <c r="B77" s="11" t="inlineStr">
        <is>
          <t>FastDPE Structural Fv Charge Symmetry Parameter-transformed</t>
        </is>
      </c>
      <c r="C77" s="11" t="inlineStr">
        <is>
          <t>FastDPE</t>
        </is>
      </c>
      <c r="D77" s="9" t="inlineStr">
        <is>
          <t>Thermostability (Tm3)</t>
        </is>
      </c>
      <c r="E77" s="9" t="n">
        <v>45</v>
      </c>
      <c r="F77" s="9" t="inlineStr">
        <is>
          <t xml:space="preserve">-0.010   </t>
        </is>
      </c>
      <c r="G77" s="9" t="n">
        <v>0.511</v>
      </c>
      <c r="H77" s="9" t="n">
        <v>0.511</v>
      </c>
    </row>
    <row r="78">
      <c r="B78" s="11" t="inlineStr">
        <is>
          <t>FastDPE Total CDR length</t>
        </is>
      </c>
      <c r="C78" s="11" t="inlineStr">
        <is>
          <t>FastDPE</t>
        </is>
      </c>
      <c r="D78" s="9" t="inlineStr">
        <is>
          <t>Aggregation (Polydispersity idx)</t>
        </is>
      </c>
      <c r="E78" s="9" t="n">
        <v>1435</v>
      </c>
      <c r="F78" s="9" t="inlineStr">
        <is>
          <t>-0.133***</t>
        </is>
      </c>
      <c r="G78" s="9" t="n">
        <v>0.502</v>
      </c>
      <c r="H78" s="9" t="n">
        <v>0.762</v>
      </c>
    </row>
    <row r="79">
      <c r="B79" s="11" t="inlineStr">
        <is>
          <t>FastDPE Total CDR length-transformed</t>
        </is>
      </c>
      <c r="C79" s="11" t="inlineStr">
        <is>
          <t>FastDPE</t>
        </is>
      </c>
      <c r="D79" s="9" t="inlineStr">
        <is>
          <t>Aggregation (Polydispersity idx)</t>
        </is>
      </c>
      <c r="E79" s="9" t="n">
        <v>1435</v>
      </c>
      <c r="F79" s="9" t="inlineStr">
        <is>
          <t xml:space="preserve"> 0.153***</t>
        </is>
      </c>
      <c r="G79" s="9" t="n">
        <v>0.5</v>
      </c>
      <c r="H79" s="9" t="n">
        <v>0.762</v>
      </c>
    </row>
    <row r="80">
      <c r="B80" s="11" t="inlineStr">
        <is>
          <t>FastDPE Patches of Positive Charge (CDR-vicinity)</t>
        </is>
      </c>
      <c r="C80" s="11" t="inlineStr">
        <is>
          <t>FastDPE</t>
        </is>
      </c>
      <c r="D80" s="9" t="inlineStr">
        <is>
          <t>Aggregation (Polydispersity idx)</t>
        </is>
      </c>
      <c r="E80" s="9" t="n">
        <v>1435</v>
      </c>
      <c r="F80" s="9" t="inlineStr">
        <is>
          <t xml:space="preserve">-0.048   </t>
        </is>
      </c>
      <c r="G80" s="9" t="n">
        <v>0.482</v>
      </c>
      <c r="H80" s="9" t="n">
        <v>0.762</v>
      </c>
    </row>
    <row r="81">
      <c r="B81" s="11" t="inlineStr">
        <is>
          <t>FastDPE Patches of Negative Charge (CDR-vicinity)</t>
        </is>
      </c>
      <c r="C81" s="11" t="inlineStr">
        <is>
          <t>FastDPE</t>
        </is>
      </c>
      <c r="D81" s="9" t="inlineStr">
        <is>
          <t>Aggregation (Polydispersity idx)</t>
        </is>
      </c>
      <c r="E81" s="9" t="n">
        <v>1435</v>
      </c>
      <c r="F81" s="9" t="inlineStr">
        <is>
          <t xml:space="preserve">-0.068** </t>
        </is>
      </c>
      <c r="G81" s="9" t="n">
        <v>0.469</v>
      </c>
      <c r="H81" s="9" t="n">
        <v>0.762</v>
      </c>
    </row>
    <row r="82">
      <c r="B82" s="11" t="inlineStr">
        <is>
          <t>FastDPE Structural Fv Charge Symmetry Parameter</t>
        </is>
      </c>
      <c r="C82" s="11" t="inlineStr">
        <is>
          <t>FastDPE</t>
        </is>
      </c>
      <c r="D82" s="9" t="inlineStr">
        <is>
          <t>Aggregation (Polydispersity idx)</t>
        </is>
      </c>
      <c r="E82" s="9" t="n">
        <v>967</v>
      </c>
      <c r="F82" s="9" t="inlineStr">
        <is>
          <t xml:space="preserve"> 0.016   </t>
        </is>
      </c>
      <c r="G82" s="9" t="n">
        <v>0.515</v>
      </c>
      <c r="H82" s="9" t="n">
        <v>0.758</v>
      </c>
    </row>
    <row r="83">
      <c r="B83" s="11" t="inlineStr">
        <is>
          <t>FastDPE Structural Fv Charge Symmetry Parameter-transformed</t>
        </is>
      </c>
      <c r="C83" s="11" t="inlineStr">
        <is>
          <t>FastDPE</t>
        </is>
      </c>
      <c r="D83" s="9" t="inlineStr">
        <is>
          <t>Aggregation (Polydispersity idx)</t>
        </is>
      </c>
      <c r="E83" s="9" t="n">
        <v>967</v>
      </c>
      <c r="F83" s="9" t="inlineStr">
        <is>
          <t xml:space="preserve"> 0.016   </t>
        </is>
      </c>
      <c r="G83" s="9" t="n">
        <v>0.485</v>
      </c>
      <c r="H83" s="9" t="n">
        <v>0.758</v>
      </c>
    </row>
    <row r="84">
      <c r="B84" s="11" t="inlineStr">
        <is>
          <t>FastDPE Total CDR length</t>
        </is>
      </c>
      <c r="C84" s="11" t="inlineStr">
        <is>
          <t>FastDPE</t>
        </is>
      </c>
      <c r="D84" s="9" t="inlineStr">
        <is>
          <t>Polyreactivity (absorbance)</t>
        </is>
      </c>
      <c r="E84" s="9" t="n">
        <v>1442</v>
      </c>
      <c r="F84" s="9" t="inlineStr">
        <is>
          <t xml:space="preserve"> 0.049   </t>
        </is>
      </c>
      <c r="G84" s="9" t="n">
        <v>0.526</v>
      </c>
      <c r="H84" s="9" t="n">
        <v>0.6899999999999999</v>
      </c>
    </row>
    <row r="85">
      <c r="B85" s="11" t="inlineStr">
        <is>
          <t>FastDPE Total CDR length-transformed</t>
        </is>
      </c>
      <c r="C85" s="11" t="inlineStr">
        <is>
          <t>FastDPE</t>
        </is>
      </c>
      <c r="D85" s="9" t="inlineStr">
        <is>
          <t>Polyreactivity (absorbance)</t>
        </is>
      </c>
      <c r="E85" s="9" t="n">
        <v>1442</v>
      </c>
      <c r="F85" s="9" t="inlineStr">
        <is>
          <t xml:space="preserve">-0.029   </t>
        </is>
      </c>
      <c r="G85" s="9" t="n">
        <v>0.535</v>
      </c>
      <c r="H85" s="9" t="n">
        <v>0.6899999999999999</v>
      </c>
    </row>
    <row r="86">
      <c r="B86" s="11" t="inlineStr">
        <is>
          <t>FastDPE Patches of Positive Charge (CDR-vicinity)</t>
        </is>
      </c>
      <c r="C86" s="11" t="inlineStr">
        <is>
          <t>FastDPE</t>
        </is>
      </c>
      <c r="D86" s="9" t="inlineStr">
        <is>
          <t>Polyreactivity (absorbance)</t>
        </is>
      </c>
      <c r="E86" s="9" t="n">
        <v>1442</v>
      </c>
      <c r="F86" s="9" t="inlineStr">
        <is>
          <t xml:space="preserve"> 0.128***</t>
        </is>
      </c>
      <c r="G86" s="9" t="n">
        <v>0.581</v>
      </c>
      <c r="H86" s="9" t="n">
        <v>0.6899999999999999</v>
      </c>
    </row>
    <row r="87">
      <c r="B87" s="11" t="inlineStr">
        <is>
          <t>FastDPE Patches of Negative Charge (CDR-vicinity)</t>
        </is>
      </c>
      <c r="C87" s="11" t="inlineStr">
        <is>
          <t>FastDPE</t>
        </is>
      </c>
      <c r="D87" s="9" t="inlineStr">
        <is>
          <t>Polyreactivity (absorbance)</t>
        </is>
      </c>
      <c r="E87" s="9" t="n">
        <v>1442</v>
      </c>
      <c r="F87" s="9" t="inlineStr">
        <is>
          <t xml:space="preserve">-0.060*  </t>
        </is>
      </c>
      <c r="G87" s="9" t="n">
        <v>0.481</v>
      </c>
      <c r="H87" s="9" t="n">
        <v>0.6899999999999999</v>
      </c>
    </row>
    <row r="88">
      <c r="B88" s="11" t="inlineStr">
        <is>
          <t>FastDPE Structural Fv Charge Symmetry Parameter</t>
        </is>
      </c>
      <c r="C88" s="11" t="inlineStr">
        <is>
          <t>FastDPE</t>
        </is>
      </c>
      <c r="D88" s="9" t="inlineStr">
        <is>
          <t>Polyreactivity (absorbance)</t>
        </is>
      </c>
      <c r="E88" s="9" t="n">
        <v>971</v>
      </c>
      <c r="F88" s="9" t="inlineStr">
        <is>
          <t xml:space="preserve"> 0.283***</t>
        </is>
      </c>
      <c r="G88" s="9" t="n">
        <v>0.65</v>
      </c>
      <c r="H88" s="9" t="n">
        <v>0.716</v>
      </c>
    </row>
    <row r="89">
      <c r="B89" s="11" t="inlineStr">
        <is>
          <t>FastDPE Structural Fv Charge Symmetry Parameter-transformed</t>
        </is>
      </c>
      <c r="C89" s="11" t="inlineStr">
        <is>
          <t>FastDPE</t>
        </is>
      </c>
      <c r="D89" s="9" t="inlineStr">
        <is>
          <t>Polyreactivity (absorbance)</t>
        </is>
      </c>
      <c r="E89" s="9" t="n">
        <v>971</v>
      </c>
      <c r="F89" s="9" t="inlineStr">
        <is>
          <t xml:space="preserve"> 0.283***</t>
        </is>
      </c>
      <c r="G89" s="9" t="n">
        <v>0.35</v>
      </c>
      <c r="H89" s="9" t="n">
        <v>0.716</v>
      </c>
    </row>
    <row r="90">
      <c r="B90" s="11" t="inlineStr">
        <is>
          <t>FastDPE Patches of Surface Hydrophobicity (CDR-vicinity)</t>
        </is>
      </c>
      <c r="C90" s="11" t="inlineStr">
        <is>
          <t>FastDPE</t>
        </is>
      </c>
      <c r="D90" s="9" t="inlineStr">
        <is>
          <t>Hydrophobicity</t>
        </is>
      </c>
      <c r="E90" s="9" t="n">
        <v>1442</v>
      </c>
      <c r="F90" s="9" t="inlineStr">
        <is>
          <t>-0.300***</t>
        </is>
      </c>
      <c r="G90" s="9" t="inlineStr">
        <is>
          <t>-</t>
        </is>
      </c>
      <c r="H90" s="9" t="inlineStr">
        <is>
          <t>-</t>
        </is>
      </c>
    </row>
    <row r="91"/>
    <row r="92"/>
    <row r="93">
      <c r="B93" s="8" t="inlineStr">
        <is>
          <t>Module output</t>
        </is>
      </c>
      <c r="C93" s="8" t="inlineStr">
        <is>
          <t>Module name</t>
        </is>
      </c>
      <c r="D93" s="8" t="inlineStr">
        <is>
          <t>Property category</t>
        </is>
      </c>
      <c r="E93" s="8" t="inlineStr">
        <is>
          <t>Sample size</t>
        </is>
      </c>
      <c r="F93" s="8" t="inlineStr">
        <is>
          <t>Spearman correlation</t>
        </is>
      </c>
      <c r="G93" s="8" t="inlineStr">
        <is>
          <t>AuROC</t>
        </is>
      </c>
      <c r="H93" s="8" t="inlineStr">
        <is>
          <t>Positive ratio</t>
        </is>
      </c>
    </row>
    <row r="94">
      <c r="B94" s="11" t="inlineStr">
        <is>
          <t>FastDPE Patches of Surface Hydrophobicity (CDR-vicinity)-transformed</t>
        </is>
      </c>
      <c r="C94" s="11" t="inlineStr">
        <is>
          <t>FastDPE</t>
        </is>
      </c>
      <c r="D94" s="9" t="inlineStr">
        <is>
          <t>Hydrophobicity</t>
        </is>
      </c>
      <c r="E94" s="9" t="n">
        <v>1442</v>
      </c>
      <c r="F94" s="9" t="inlineStr">
        <is>
          <t>-0.189***</t>
        </is>
      </c>
      <c r="G94" s="9" t="inlineStr">
        <is>
          <t>-</t>
        </is>
      </c>
      <c r="H94" s="9" t="inlineStr">
        <is>
          <t>-</t>
        </is>
      </c>
    </row>
    <row r="95">
      <c r="B95" s="11" t="inlineStr">
        <is>
          <t>NanoPolyreactivity prediction with origFACS_model</t>
        </is>
      </c>
      <c r="C95" s="11" t="inlineStr">
        <is>
          <t>Nanobody Polyreactivity Scorer</t>
        </is>
      </c>
      <c r="D95" s="9" t="inlineStr">
        <is>
          <t>Polyreactivity (absorbance)</t>
        </is>
      </c>
      <c r="E95" s="9" t="n">
        <v>1432</v>
      </c>
      <c r="F95" s="9" t="inlineStr">
        <is>
          <t>-0.165***</t>
        </is>
      </c>
      <c r="G95" s="9" t="n">
        <v>0.587</v>
      </c>
      <c r="H95" s="9" t="n">
        <v>0.6909999999999999</v>
      </c>
    </row>
    <row r="96">
      <c r="B96" s="11" t="inlineStr">
        <is>
          <t>NanoPolyreactivity prediction with deepFACS_model</t>
        </is>
      </c>
      <c r="C96" s="11" t="inlineStr">
        <is>
          <t>Nanobody Polyreactivity Scorer</t>
        </is>
      </c>
      <c r="D96" s="9" t="inlineStr">
        <is>
          <t>Polyreactivity (absorbance)</t>
        </is>
      </c>
      <c r="E96" s="9" t="n">
        <v>1432</v>
      </c>
      <c r="F96" s="9" t="inlineStr">
        <is>
          <t>-0.151***</t>
        </is>
      </c>
      <c r="G96" s="9" t="n">
        <v>0.595</v>
      </c>
      <c r="H96" s="9" t="n">
        <v>0.6909999999999999</v>
      </c>
    </row>
    <row r="97">
      <c r="B97" s="11" t="inlineStr">
        <is>
          <t>Amplify Perplexity</t>
        </is>
      </c>
      <c r="C97" s="11" t="inlineStr">
        <is>
          <t>PLM Pseudo-Perplexity</t>
        </is>
      </c>
      <c r="D97" s="9" t="inlineStr">
        <is>
          <t>Titer</t>
        </is>
      </c>
      <c r="E97" s="9" t="n">
        <v>4671</v>
      </c>
      <c r="F97" s="9" t="inlineStr">
        <is>
          <t>-0.448***</t>
        </is>
      </c>
      <c r="G97" s="9" t="n">
        <v>0.806</v>
      </c>
      <c r="H97" s="9" t="n">
        <v>0.316</v>
      </c>
    </row>
    <row r="98">
      <c r="B98" s="11" t="inlineStr">
        <is>
          <t>ESM2 Perplexity</t>
        </is>
      </c>
      <c r="C98" s="11" t="inlineStr">
        <is>
          <t>PLM Pseudo-Perplexity</t>
        </is>
      </c>
      <c r="D98" s="9" t="inlineStr">
        <is>
          <t>Titer</t>
        </is>
      </c>
      <c r="E98" s="9" t="n">
        <v>4671</v>
      </c>
      <c r="F98" s="9" t="inlineStr">
        <is>
          <t>-0.541***</t>
        </is>
      </c>
      <c r="G98" s="9" t="n">
        <v>0.867</v>
      </c>
      <c r="H98" s="9" t="n">
        <v>0.316</v>
      </c>
    </row>
    <row r="99">
      <c r="B99" s="11" t="inlineStr">
        <is>
          <t>Amplify Perplexity</t>
        </is>
      </c>
      <c r="C99" s="11" t="inlineStr">
        <is>
          <t>PLM Pseudo-Perplexity</t>
        </is>
      </c>
      <c r="D99" s="9" t="inlineStr">
        <is>
          <t>Analytical Size Exclusion Chromatography</t>
        </is>
      </c>
      <c r="E99" s="9" t="n">
        <v>1611</v>
      </c>
      <c r="F99" s="9" t="inlineStr">
        <is>
          <t xml:space="preserve"> 0.142***</t>
        </is>
      </c>
      <c r="G99" s="9" t="n">
        <v>0.445</v>
      </c>
      <c r="H99" s="9" t="n">
        <v>0.603</v>
      </c>
    </row>
    <row r="100">
      <c r="B100" s="11" t="inlineStr">
        <is>
          <t>ESM2 Perplexity</t>
        </is>
      </c>
      <c r="C100" s="11" t="inlineStr">
        <is>
          <t>PLM Pseudo-Perplexity</t>
        </is>
      </c>
      <c r="D100" s="9" t="inlineStr">
        <is>
          <t>Analytical Size Exclusion Chromatography</t>
        </is>
      </c>
      <c r="E100" s="9" t="n">
        <v>1611</v>
      </c>
      <c r="F100" s="9" t="inlineStr">
        <is>
          <t xml:space="preserve"> 0.110***</t>
        </is>
      </c>
      <c r="G100" s="9" t="n">
        <v>0.453</v>
      </c>
      <c r="H100" s="9" t="n">
        <v>0.603</v>
      </c>
    </row>
    <row r="101">
      <c r="B101" s="11" t="inlineStr">
        <is>
          <t>Amplify Perplexity</t>
        </is>
      </c>
      <c r="C101" s="11" t="inlineStr">
        <is>
          <t>PLM Pseudo-Perplexity</t>
        </is>
      </c>
      <c r="D101" s="9" t="inlineStr">
        <is>
          <t>Thermostability (onset)</t>
        </is>
      </c>
      <c r="E101" s="9" t="n">
        <v>1565</v>
      </c>
      <c r="F101" s="9" t="inlineStr">
        <is>
          <t>-0.091***</t>
        </is>
      </c>
      <c r="G101" s="9" t="n">
        <v>0.548</v>
      </c>
      <c r="H101" s="9" t="n">
        <v>0.613</v>
      </c>
    </row>
    <row r="102">
      <c r="B102" s="11" t="inlineStr">
        <is>
          <t>ESM2 Perplexity</t>
        </is>
      </c>
      <c r="C102" s="11" t="inlineStr">
        <is>
          <t>PLM Pseudo-Perplexity</t>
        </is>
      </c>
      <c r="D102" s="9" t="inlineStr">
        <is>
          <t>Thermostability (onset)</t>
        </is>
      </c>
      <c r="E102" s="9" t="n">
        <v>1565</v>
      </c>
      <c r="F102" s="9" t="inlineStr">
        <is>
          <t>-0.151***</t>
        </is>
      </c>
      <c r="G102" s="9" t="n">
        <v>0.588</v>
      </c>
      <c r="H102" s="9" t="n">
        <v>0.613</v>
      </c>
    </row>
    <row r="103">
      <c r="B103" s="11" t="inlineStr">
        <is>
          <t>Amplify Perplexity</t>
        </is>
      </c>
      <c r="C103" s="11" t="inlineStr">
        <is>
          <t>PLM Pseudo-Perplexity</t>
        </is>
      </c>
      <c r="D103" s="9" t="inlineStr">
        <is>
          <t>Thermostability (Tm1)</t>
        </is>
      </c>
      <c r="E103" s="9" t="n">
        <v>1568</v>
      </c>
      <c r="F103" s="9" t="inlineStr">
        <is>
          <t xml:space="preserve">-0.074** </t>
        </is>
      </c>
      <c r="G103" s="9" t="n">
        <v>0.518</v>
      </c>
      <c r="H103" s="9" t="n">
        <v>0.582</v>
      </c>
    </row>
    <row r="104">
      <c r="B104" s="11" t="inlineStr">
        <is>
          <t>ESM2 Perplexity</t>
        </is>
      </c>
      <c r="C104" s="11" t="inlineStr">
        <is>
          <t>PLM Pseudo-Perplexity</t>
        </is>
      </c>
      <c r="D104" s="9" t="inlineStr">
        <is>
          <t>Thermostability (Tm1)</t>
        </is>
      </c>
      <c r="E104" s="9" t="n">
        <v>1568</v>
      </c>
      <c r="F104" s="9" t="inlineStr">
        <is>
          <t>-0.148***</t>
        </is>
      </c>
      <c r="G104" s="9" t="n">
        <v>0.5570000000000001</v>
      </c>
      <c r="H104" s="9" t="n">
        <v>0.582</v>
      </c>
    </row>
    <row r="105">
      <c r="B105" s="11" t="inlineStr">
        <is>
          <t>Amplify Perplexity</t>
        </is>
      </c>
      <c r="C105" s="11" t="inlineStr">
        <is>
          <t>PLM Pseudo-Perplexity</t>
        </is>
      </c>
      <c r="D105" s="9" t="inlineStr">
        <is>
          <t>Thermostability (Tm2)</t>
        </is>
      </c>
      <c r="E105" s="9" t="n">
        <v>1196</v>
      </c>
      <c r="F105" s="9" t="inlineStr">
        <is>
          <t xml:space="preserve">-0.062*  </t>
        </is>
      </c>
      <c r="G105" s="9" t="n">
        <v>0.542</v>
      </c>
      <c r="H105" s="9" t="n">
        <v>0.635</v>
      </c>
    </row>
    <row r="106">
      <c r="B106" s="11" t="inlineStr">
        <is>
          <t>ESM2 Perplexity</t>
        </is>
      </c>
      <c r="C106" s="11" t="inlineStr">
        <is>
          <t>PLM Pseudo-Perplexity</t>
        </is>
      </c>
      <c r="D106" s="9" t="inlineStr">
        <is>
          <t>Thermostability (Tm2)</t>
        </is>
      </c>
      <c r="E106" s="9" t="n">
        <v>1196</v>
      </c>
      <c r="F106" s="9" t="inlineStr">
        <is>
          <t>-0.104***</t>
        </is>
      </c>
      <c r="G106" s="9" t="n">
        <v>0.555</v>
      </c>
      <c r="H106" s="9" t="n">
        <v>0.635</v>
      </c>
    </row>
    <row r="107">
      <c r="B107" s="11" t="inlineStr">
        <is>
          <t>Amplify Perplexity</t>
        </is>
      </c>
      <c r="C107" s="11" t="inlineStr">
        <is>
          <t>PLM Pseudo-Perplexity</t>
        </is>
      </c>
      <c r="D107" s="9" t="inlineStr">
        <is>
          <t>Thermostability (Tm3)</t>
        </is>
      </c>
      <c r="E107" s="9" t="n">
        <v>189</v>
      </c>
      <c r="F107" s="9" t="inlineStr">
        <is>
          <t xml:space="preserve">-0.102   </t>
        </is>
      </c>
      <c r="G107" s="9" t="n">
        <v>0.626</v>
      </c>
      <c r="H107" s="9" t="n">
        <v>0.423</v>
      </c>
    </row>
    <row r="108">
      <c r="B108" s="11" t="inlineStr">
        <is>
          <t>ESM2 Perplexity</t>
        </is>
      </c>
      <c r="C108" s="11" t="inlineStr">
        <is>
          <t>PLM Pseudo-Perplexity</t>
        </is>
      </c>
      <c r="D108" s="9" t="inlineStr">
        <is>
          <t>Thermostability (Tm3)</t>
        </is>
      </c>
      <c r="E108" s="9" t="n">
        <v>189</v>
      </c>
      <c r="F108" s="9" t="inlineStr">
        <is>
          <t>-0.245***</t>
        </is>
      </c>
      <c r="G108" s="9" t="n">
        <v>0.664</v>
      </c>
      <c r="H108" s="9" t="n">
        <v>0.423</v>
      </c>
    </row>
    <row r="109">
      <c r="B109" s="11" t="inlineStr">
        <is>
          <t>Amplify Perplexity</t>
        </is>
      </c>
      <c r="C109" s="11" t="inlineStr">
        <is>
          <t>PLM Pseudo-Perplexity</t>
        </is>
      </c>
      <c r="D109" s="9" t="inlineStr">
        <is>
          <t>Aggregation (Polydispersity idx)</t>
        </is>
      </c>
      <c r="E109" s="9" t="n">
        <v>1435</v>
      </c>
      <c r="F109" s="9" t="inlineStr">
        <is>
          <t xml:space="preserve"> 0.177***</t>
        </is>
      </c>
      <c r="G109" s="9" t="n">
        <v>0.424</v>
      </c>
      <c r="H109" s="9" t="n">
        <v>0.762</v>
      </c>
    </row>
    <row r="110">
      <c r="B110" s="11" t="inlineStr">
        <is>
          <t>ESM2 Perplexity</t>
        </is>
      </c>
      <c r="C110" s="11" t="inlineStr">
        <is>
          <t>PLM Pseudo-Perplexity</t>
        </is>
      </c>
      <c r="D110" s="9" t="inlineStr">
        <is>
          <t>Aggregation (Polydispersity idx)</t>
        </is>
      </c>
      <c r="E110" s="9" t="n">
        <v>1435</v>
      </c>
      <c r="F110" s="9" t="inlineStr">
        <is>
          <t xml:space="preserve"> 0.254***</t>
        </is>
      </c>
      <c r="G110" s="9" t="n">
        <v>0.379</v>
      </c>
      <c r="H110" s="9" t="n">
        <v>0.762</v>
      </c>
    </row>
    <row r="111">
      <c r="B111" s="11" t="inlineStr">
        <is>
          <t>Amplify Perplexity</t>
        </is>
      </c>
      <c r="C111" s="11" t="inlineStr">
        <is>
          <t>PLM Pseudo-Perplexity</t>
        </is>
      </c>
      <c r="D111" s="9" t="inlineStr">
        <is>
          <t>Polyreactivity (absorbance)</t>
        </is>
      </c>
      <c r="E111" s="9" t="n">
        <v>1442</v>
      </c>
      <c r="F111" s="9" t="inlineStr">
        <is>
          <t xml:space="preserve">-0.050   </t>
        </is>
      </c>
      <c r="G111" s="9" t="n">
        <v>0.515</v>
      </c>
      <c r="H111" s="9" t="n">
        <v>0.6899999999999999</v>
      </c>
    </row>
    <row r="112">
      <c r="B112" s="11" t="inlineStr">
        <is>
          <t>ESM2 Perplexity</t>
        </is>
      </c>
      <c r="C112" s="11" t="inlineStr">
        <is>
          <t>PLM Pseudo-Perplexity</t>
        </is>
      </c>
      <c r="D112" s="9" t="inlineStr">
        <is>
          <t>Polyreactivity (absorbance)</t>
        </is>
      </c>
      <c r="E112" s="9" t="n">
        <v>1442</v>
      </c>
      <c r="F112" s="9" t="inlineStr">
        <is>
          <t xml:space="preserve">-0.012   </t>
        </is>
      </c>
      <c r="G112" s="9" t="n">
        <v>0.491</v>
      </c>
      <c r="H112" s="9" t="n">
        <v>0.6899999999999999</v>
      </c>
    </row>
    <row r="113">
      <c r="B113" s="11" t="inlineStr">
        <is>
          <t>Amplify Perplexity</t>
        </is>
      </c>
      <c r="C113" s="11" t="inlineStr">
        <is>
          <t>PLM Pseudo-Perplexity</t>
        </is>
      </c>
      <c r="D113" s="9" t="inlineStr">
        <is>
          <t>Hydrophobicity</t>
        </is>
      </c>
      <c r="E113" s="9" t="n">
        <v>1442</v>
      </c>
      <c r="F113" s="9" t="inlineStr">
        <is>
          <t xml:space="preserve"> 0.153***</t>
        </is>
      </c>
      <c r="G113" s="9" t="inlineStr">
        <is>
          <t>-</t>
        </is>
      </c>
      <c r="H113" s="9" t="inlineStr">
        <is>
          <t>-</t>
        </is>
      </c>
    </row>
    <row r="114"/>
    <row r="115">
      <c r="B115" s="8" t="inlineStr">
        <is>
          <t>Module output</t>
        </is>
      </c>
      <c r="C115" s="8" t="inlineStr">
        <is>
          <t>Module name</t>
        </is>
      </c>
      <c r="D115" s="8" t="inlineStr">
        <is>
          <t>Property category</t>
        </is>
      </c>
      <c r="E115" s="8" t="inlineStr">
        <is>
          <t>Sample size</t>
        </is>
      </c>
      <c r="F115" s="8" t="inlineStr">
        <is>
          <t>Spearman correlation</t>
        </is>
      </c>
      <c r="G115" s="8" t="inlineStr">
        <is>
          <t>AuROC</t>
        </is>
      </c>
      <c r="H115" s="8" t="inlineStr">
        <is>
          <t>Positive ratio</t>
        </is>
      </c>
    </row>
    <row r="116">
      <c r="B116" s="11" t="inlineStr">
        <is>
          <t>FastDPE Patches of Surface Hydrophobicity (CDR-vicinity)-transformed</t>
        </is>
      </c>
      <c r="C116" s="11" t="inlineStr">
        <is>
          <t>FastDPE</t>
        </is>
      </c>
      <c r="D116" s="9" t="inlineStr">
        <is>
          <t>Hydrophobicity</t>
        </is>
      </c>
      <c r="E116" s="9" t="n">
        <v>1442</v>
      </c>
      <c r="F116" s="9" t="inlineStr">
        <is>
          <t>-0.189***</t>
        </is>
      </c>
      <c r="G116" s="9" t="inlineStr">
        <is>
          <t>-</t>
        </is>
      </c>
      <c r="H116" s="9" t="inlineStr">
        <is>
          <t>-</t>
        </is>
      </c>
    </row>
    <row r="117">
      <c r="B117" s="11" t="inlineStr">
        <is>
          <t>NanoPolyreactivity prediction with origFACS_model</t>
        </is>
      </c>
      <c r="C117" s="11" t="inlineStr">
        <is>
          <t>Nanobody Polyreactivity Scorer</t>
        </is>
      </c>
      <c r="D117" s="9" t="inlineStr">
        <is>
          <t>Polyreactivity (absorbance)</t>
        </is>
      </c>
      <c r="E117" s="9" t="n">
        <v>1432</v>
      </c>
      <c r="F117" s="9" t="inlineStr">
        <is>
          <t>-0.165***</t>
        </is>
      </c>
      <c r="G117" s="9" t="n">
        <v>0.587</v>
      </c>
      <c r="H117" s="9" t="n">
        <v>0.6909999999999999</v>
      </c>
    </row>
    <row r="118">
      <c r="B118" s="11" t="inlineStr">
        <is>
          <t>NanoPolyreactivity prediction with deepFACS_model</t>
        </is>
      </c>
      <c r="C118" s="11" t="inlineStr">
        <is>
          <t>Nanobody Polyreactivity Scorer</t>
        </is>
      </c>
      <c r="D118" s="9" t="inlineStr">
        <is>
          <t>Polyreactivity (absorbance)</t>
        </is>
      </c>
      <c r="E118" s="9" t="n">
        <v>1432</v>
      </c>
      <c r="F118" s="9" t="inlineStr">
        <is>
          <t>-0.151***</t>
        </is>
      </c>
      <c r="G118" s="9" t="n">
        <v>0.595</v>
      </c>
      <c r="H118" s="9" t="n">
        <v>0.6909999999999999</v>
      </c>
    </row>
    <row r="119">
      <c r="B119" s="11" t="inlineStr">
        <is>
          <t>Amplify Perplexity</t>
        </is>
      </c>
      <c r="C119" s="11" t="inlineStr">
        <is>
          <t>PLM Pseudo-Perplexity</t>
        </is>
      </c>
      <c r="D119" s="9" t="inlineStr">
        <is>
          <t>Titer</t>
        </is>
      </c>
      <c r="E119" s="9" t="n">
        <v>4671</v>
      </c>
      <c r="F119" s="9" t="inlineStr">
        <is>
          <t>-0.448***</t>
        </is>
      </c>
      <c r="G119" s="9" t="n">
        <v>0.806</v>
      </c>
      <c r="H119" s="9" t="n">
        <v>0.316</v>
      </c>
    </row>
    <row r="120">
      <c r="B120" s="11" t="inlineStr">
        <is>
          <t>ESM2 Perplexity</t>
        </is>
      </c>
      <c r="C120" s="11" t="inlineStr">
        <is>
          <t>PLM Pseudo-Perplexity</t>
        </is>
      </c>
      <c r="D120" s="9" t="inlineStr">
        <is>
          <t>Titer</t>
        </is>
      </c>
      <c r="E120" s="9" t="n">
        <v>4671</v>
      </c>
      <c r="F120" s="9" t="inlineStr">
        <is>
          <t>-0.541***</t>
        </is>
      </c>
      <c r="G120" s="9" t="n">
        <v>0.867</v>
      </c>
      <c r="H120" s="9" t="n">
        <v>0.316</v>
      </c>
    </row>
    <row r="121">
      <c r="B121" s="11" t="inlineStr">
        <is>
          <t>Amplify Perplexity</t>
        </is>
      </c>
      <c r="C121" s="11" t="inlineStr">
        <is>
          <t>PLM Pseudo-Perplexity</t>
        </is>
      </c>
      <c r="D121" s="9" t="inlineStr">
        <is>
          <t>Analytical Size Exclusion Chromatography</t>
        </is>
      </c>
      <c r="E121" s="9" t="n">
        <v>1611</v>
      </c>
      <c r="F121" s="9" t="inlineStr">
        <is>
          <t xml:space="preserve"> 0.142***</t>
        </is>
      </c>
      <c r="G121" s="9" t="n">
        <v>0.445</v>
      </c>
      <c r="H121" s="9" t="n">
        <v>0.603</v>
      </c>
    </row>
    <row r="122">
      <c r="B122" s="11" t="inlineStr">
        <is>
          <t>ESM2 Perplexity</t>
        </is>
      </c>
      <c r="C122" s="11" t="inlineStr">
        <is>
          <t>PLM Pseudo-Perplexity</t>
        </is>
      </c>
      <c r="D122" s="9" t="inlineStr">
        <is>
          <t>Analytical Size Exclusion Chromatography</t>
        </is>
      </c>
      <c r="E122" s="9" t="n">
        <v>1611</v>
      </c>
      <c r="F122" s="9" t="inlineStr">
        <is>
          <t xml:space="preserve"> 0.110***</t>
        </is>
      </c>
      <c r="G122" s="9" t="n">
        <v>0.453</v>
      </c>
      <c r="H122" s="9" t="n">
        <v>0.603</v>
      </c>
    </row>
    <row r="123">
      <c r="B123" s="11" t="inlineStr">
        <is>
          <t>Amplify Perplexity</t>
        </is>
      </c>
      <c r="C123" s="11" t="inlineStr">
        <is>
          <t>PLM Pseudo-Perplexity</t>
        </is>
      </c>
      <c r="D123" s="9" t="inlineStr">
        <is>
          <t>Thermostability (onset)</t>
        </is>
      </c>
      <c r="E123" s="9" t="n">
        <v>1565</v>
      </c>
      <c r="F123" s="9" t="inlineStr">
        <is>
          <t>-0.091***</t>
        </is>
      </c>
      <c r="G123" s="9" t="n">
        <v>0.548</v>
      </c>
      <c r="H123" s="9" t="n">
        <v>0.613</v>
      </c>
    </row>
    <row r="124">
      <c r="B124" s="11" t="inlineStr">
        <is>
          <t>ESM2 Perplexity</t>
        </is>
      </c>
      <c r="C124" s="11" t="inlineStr">
        <is>
          <t>PLM Pseudo-Perplexity</t>
        </is>
      </c>
      <c r="D124" s="9" t="inlineStr">
        <is>
          <t>Thermostability (onset)</t>
        </is>
      </c>
      <c r="E124" s="9" t="n">
        <v>1565</v>
      </c>
      <c r="F124" s="9" t="inlineStr">
        <is>
          <t>-0.151***</t>
        </is>
      </c>
      <c r="G124" s="9" t="n">
        <v>0.588</v>
      </c>
      <c r="H124" s="9" t="n">
        <v>0.613</v>
      </c>
    </row>
    <row r="125">
      <c r="B125" s="11" t="inlineStr">
        <is>
          <t>Amplify Perplexity</t>
        </is>
      </c>
      <c r="C125" s="11" t="inlineStr">
        <is>
          <t>PLM Pseudo-Perplexity</t>
        </is>
      </c>
      <c r="D125" s="9" t="inlineStr">
        <is>
          <t>Thermostability (Tm1)</t>
        </is>
      </c>
      <c r="E125" s="9" t="n">
        <v>1568</v>
      </c>
      <c r="F125" s="9" t="inlineStr">
        <is>
          <t xml:space="preserve">-0.074** </t>
        </is>
      </c>
      <c r="G125" s="9" t="n">
        <v>0.518</v>
      </c>
      <c r="H125" s="9" t="n">
        <v>0.582</v>
      </c>
    </row>
    <row r="126">
      <c r="B126" s="11" t="inlineStr">
        <is>
          <t>ESM2 Perplexity</t>
        </is>
      </c>
      <c r="C126" s="11" t="inlineStr">
        <is>
          <t>PLM Pseudo-Perplexity</t>
        </is>
      </c>
      <c r="D126" s="9" t="inlineStr">
        <is>
          <t>Thermostability (Tm1)</t>
        </is>
      </c>
      <c r="E126" s="9" t="n">
        <v>1568</v>
      </c>
      <c r="F126" s="9" t="inlineStr">
        <is>
          <t>-0.148***</t>
        </is>
      </c>
      <c r="G126" s="9" t="n">
        <v>0.5570000000000001</v>
      </c>
      <c r="H126" s="9" t="n">
        <v>0.582</v>
      </c>
    </row>
    <row r="127">
      <c r="B127" s="11" t="inlineStr">
        <is>
          <t>Amplify Perplexity</t>
        </is>
      </c>
      <c r="C127" s="11" t="inlineStr">
        <is>
          <t>PLM Pseudo-Perplexity</t>
        </is>
      </c>
      <c r="D127" s="9" t="inlineStr">
        <is>
          <t>Thermostability (Tm2)</t>
        </is>
      </c>
      <c r="E127" s="9" t="n">
        <v>1196</v>
      </c>
      <c r="F127" s="9" t="inlineStr">
        <is>
          <t xml:space="preserve">-0.062*  </t>
        </is>
      </c>
      <c r="G127" s="9" t="n">
        <v>0.542</v>
      </c>
      <c r="H127" s="9" t="n">
        <v>0.635</v>
      </c>
    </row>
    <row r="128">
      <c r="B128" s="11" t="inlineStr">
        <is>
          <t>ESM2 Perplexity</t>
        </is>
      </c>
      <c r="C128" s="11" t="inlineStr">
        <is>
          <t>PLM Pseudo-Perplexity</t>
        </is>
      </c>
      <c r="D128" s="9" t="inlineStr">
        <is>
          <t>Thermostability (Tm2)</t>
        </is>
      </c>
      <c r="E128" s="9" t="n">
        <v>1196</v>
      </c>
      <c r="F128" s="9" t="inlineStr">
        <is>
          <t>-0.104***</t>
        </is>
      </c>
      <c r="G128" s="9" t="n">
        <v>0.555</v>
      </c>
      <c r="H128" s="9" t="n">
        <v>0.635</v>
      </c>
    </row>
    <row r="129">
      <c r="B129" s="11" t="inlineStr">
        <is>
          <t>Amplify Perplexity</t>
        </is>
      </c>
      <c r="C129" s="11" t="inlineStr">
        <is>
          <t>PLM Pseudo-Perplexity</t>
        </is>
      </c>
      <c r="D129" s="9" t="inlineStr">
        <is>
          <t>Thermostability (Tm3)</t>
        </is>
      </c>
      <c r="E129" s="9" t="n">
        <v>189</v>
      </c>
      <c r="F129" s="9" t="inlineStr">
        <is>
          <t xml:space="preserve">-0.102   </t>
        </is>
      </c>
      <c r="G129" s="9" t="n">
        <v>0.626</v>
      </c>
      <c r="H129" s="9" t="n">
        <v>0.423</v>
      </c>
    </row>
    <row r="130">
      <c r="B130" s="11" t="inlineStr">
        <is>
          <t>ESM2 Perplexity</t>
        </is>
      </c>
      <c r="C130" s="11" t="inlineStr">
        <is>
          <t>PLM Pseudo-Perplexity</t>
        </is>
      </c>
      <c r="D130" s="9" t="inlineStr">
        <is>
          <t>Thermostability (Tm3)</t>
        </is>
      </c>
      <c r="E130" s="9" t="n">
        <v>189</v>
      </c>
      <c r="F130" s="9" t="inlineStr">
        <is>
          <t>-0.245***</t>
        </is>
      </c>
      <c r="G130" s="9" t="n">
        <v>0.664</v>
      </c>
      <c r="H130" s="9" t="n">
        <v>0.423</v>
      </c>
    </row>
    <row r="131">
      <c r="B131" s="11" t="inlineStr">
        <is>
          <t>Amplify Perplexity</t>
        </is>
      </c>
      <c r="C131" s="11" t="inlineStr">
        <is>
          <t>PLM Pseudo-Perplexity</t>
        </is>
      </c>
      <c r="D131" s="9" t="inlineStr">
        <is>
          <t>Aggregation (Polydispersity idx)</t>
        </is>
      </c>
      <c r="E131" s="9" t="n">
        <v>1435</v>
      </c>
      <c r="F131" s="9" t="inlineStr">
        <is>
          <t xml:space="preserve"> 0.177***</t>
        </is>
      </c>
      <c r="G131" s="9" t="n">
        <v>0.424</v>
      </c>
      <c r="H131" s="9" t="n">
        <v>0.762</v>
      </c>
    </row>
    <row r="132">
      <c r="B132" s="11" t="inlineStr">
        <is>
          <t>ESM2 Perplexity</t>
        </is>
      </c>
      <c r="C132" s="11" t="inlineStr">
        <is>
          <t>PLM Pseudo-Perplexity</t>
        </is>
      </c>
      <c r="D132" s="9" t="inlineStr">
        <is>
          <t>Aggregation (Polydispersity idx)</t>
        </is>
      </c>
      <c r="E132" s="9" t="n">
        <v>1435</v>
      </c>
      <c r="F132" s="9" t="inlineStr">
        <is>
          <t xml:space="preserve"> 0.254***</t>
        </is>
      </c>
      <c r="G132" s="9" t="n">
        <v>0.379</v>
      </c>
      <c r="H132" s="9" t="n">
        <v>0.762</v>
      </c>
    </row>
    <row r="133">
      <c r="B133" s="11" t="inlineStr">
        <is>
          <t>Amplify Perplexity</t>
        </is>
      </c>
      <c r="C133" s="11" t="inlineStr">
        <is>
          <t>PLM Pseudo-Perplexity</t>
        </is>
      </c>
      <c r="D133" s="9" t="inlineStr">
        <is>
          <t>Polyreactivity (absorbance)</t>
        </is>
      </c>
      <c r="E133" s="9" t="n">
        <v>1442</v>
      </c>
      <c r="F133" s="9" t="inlineStr">
        <is>
          <t xml:space="preserve">-0.050   </t>
        </is>
      </c>
      <c r="G133" s="9" t="n">
        <v>0.515</v>
      </c>
      <c r="H133" s="9" t="n">
        <v>0.6899999999999999</v>
      </c>
    </row>
    <row r="134">
      <c r="B134" s="11" t="inlineStr">
        <is>
          <t>ESM2 Perplexity</t>
        </is>
      </c>
      <c r="C134" s="11" t="inlineStr">
        <is>
          <t>PLM Pseudo-Perplexity</t>
        </is>
      </c>
      <c r="D134" s="9" t="inlineStr">
        <is>
          <t>Polyreactivity (absorbance)</t>
        </is>
      </c>
      <c r="E134" s="9" t="n">
        <v>1442</v>
      </c>
      <c r="F134" s="9" t="inlineStr">
        <is>
          <t xml:space="preserve">-0.012   </t>
        </is>
      </c>
      <c r="G134" s="9" t="n">
        <v>0.491</v>
      </c>
      <c r="H134" s="9" t="n">
        <v>0.6899999999999999</v>
      </c>
    </row>
    <row r="135">
      <c r="B135" s="11" t="inlineStr">
        <is>
          <t>Amplify Perplexity</t>
        </is>
      </c>
      <c r="C135" s="11" t="inlineStr">
        <is>
          <t>PLM Pseudo-Perplexity</t>
        </is>
      </c>
      <c r="D135" s="9" t="inlineStr">
        <is>
          <t>Hydrophobicity</t>
        </is>
      </c>
      <c r="E135" s="9" t="n">
        <v>1442</v>
      </c>
      <c r="F135" s="9" t="inlineStr">
        <is>
          <t xml:space="preserve"> 0.153***</t>
        </is>
      </c>
      <c r="G135" s="9" t="inlineStr">
        <is>
          <t>-</t>
        </is>
      </c>
      <c r="H135" s="9" t="inlineStr">
        <is>
          <t>-</t>
        </is>
      </c>
    </row>
    <row r="136"/>
    <row r="137"/>
    <row r="138">
      <c r="B138" s="8" t="inlineStr">
        <is>
          <t>Module output</t>
        </is>
      </c>
      <c r="C138" s="8" t="inlineStr">
        <is>
          <t>Module name</t>
        </is>
      </c>
      <c r="D138" s="8" t="inlineStr">
        <is>
          <t>Property category</t>
        </is>
      </c>
      <c r="E138" s="8" t="inlineStr">
        <is>
          <t>Sample size</t>
        </is>
      </c>
      <c r="F138" s="8" t="inlineStr">
        <is>
          <t>Spearman correlation</t>
        </is>
      </c>
      <c r="G138" s="8" t="inlineStr">
        <is>
          <t>AuROC</t>
        </is>
      </c>
      <c r="H138" s="8" t="inlineStr">
        <is>
          <t>Positive ratio</t>
        </is>
      </c>
    </row>
    <row r="139">
      <c r="B139" s="11" t="inlineStr">
        <is>
          <t>FastDPE Patches of Surface Hydrophobicity (CDR-vicinity)-transformed</t>
        </is>
      </c>
      <c r="C139" s="11" t="inlineStr">
        <is>
          <t>FastDPE</t>
        </is>
      </c>
      <c r="D139" s="9" t="inlineStr">
        <is>
          <t>Hydrophobicity</t>
        </is>
      </c>
      <c r="E139" s="9" t="n">
        <v>1442</v>
      </c>
      <c r="F139" s="9" t="inlineStr">
        <is>
          <t>-0.189***</t>
        </is>
      </c>
      <c r="G139" s="9" t="inlineStr">
        <is>
          <t>-</t>
        </is>
      </c>
      <c r="H139" s="9" t="inlineStr">
        <is>
          <t>-</t>
        </is>
      </c>
    </row>
    <row r="140">
      <c r="B140" s="11" t="inlineStr">
        <is>
          <t>NanoPolyreactivity prediction with origFACS_model</t>
        </is>
      </c>
      <c r="C140" s="11" t="inlineStr">
        <is>
          <t>Nanobody Polyreactivity Scorer</t>
        </is>
      </c>
      <c r="D140" s="9" t="inlineStr">
        <is>
          <t>Polyreactivity (absorbance)</t>
        </is>
      </c>
      <c r="E140" s="9" t="n">
        <v>1432</v>
      </c>
      <c r="F140" s="9" t="inlineStr">
        <is>
          <t>-0.165***</t>
        </is>
      </c>
      <c r="G140" s="9" t="n">
        <v>0.587</v>
      </c>
      <c r="H140" s="9" t="n">
        <v>0.6909999999999999</v>
      </c>
    </row>
    <row r="141">
      <c r="B141" s="11" t="inlineStr">
        <is>
          <t>NanoPolyreactivity prediction with deepFACS_model</t>
        </is>
      </c>
      <c r="C141" s="11" t="inlineStr">
        <is>
          <t>Nanobody Polyreactivity Scorer</t>
        </is>
      </c>
      <c r="D141" s="9" t="inlineStr">
        <is>
          <t>Polyreactivity (absorbance)</t>
        </is>
      </c>
      <c r="E141" s="9" t="n">
        <v>1432</v>
      </c>
      <c r="F141" s="9" t="inlineStr">
        <is>
          <t>-0.151***</t>
        </is>
      </c>
      <c r="G141" s="9" t="n">
        <v>0.595</v>
      </c>
      <c r="H141" s="9" t="n">
        <v>0.6909999999999999</v>
      </c>
    </row>
    <row r="142">
      <c r="B142" s="11" t="inlineStr">
        <is>
          <t>Amplify Perplexity</t>
        </is>
      </c>
      <c r="C142" s="11" t="inlineStr">
        <is>
          <t>PLM Pseudo-Perplexity</t>
        </is>
      </c>
      <c r="D142" s="9" t="inlineStr">
        <is>
          <t>Titer</t>
        </is>
      </c>
      <c r="E142" s="9" t="n">
        <v>4671</v>
      </c>
      <c r="F142" s="9" t="inlineStr">
        <is>
          <t>-0.448***</t>
        </is>
      </c>
      <c r="G142" s="9" t="n">
        <v>0.806</v>
      </c>
      <c r="H142" s="9" t="n">
        <v>0.316</v>
      </c>
    </row>
    <row r="143">
      <c r="B143" s="11" t="inlineStr">
        <is>
          <t>ESM2 Perplexity</t>
        </is>
      </c>
      <c r="C143" s="11" t="inlineStr">
        <is>
          <t>PLM Pseudo-Perplexity</t>
        </is>
      </c>
      <c r="D143" s="9" t="inlineStr">
        <is>
          <t>Titer</t>
        </is>
      </c>
      <c r="E143" s="9" t="n">
        <v>4671</v>
      </c>
      <c r="F143" s="9" t="inlineStr">
        <is>
          <t>-0.541***</t>
        </is>
      </c>
      <c r="G143" s="9" t="n">
        <v>0.867</v>
      </c>
      <c r="H143" s="9" t="n">
        <v>0.316</v>
      </c>
    </row>
    <row r="144">
      <c r="B144" s="11" t="inlineStr">
        <is>
          <t>Amplify Perplexity</t>
        </is>
      </c>
      <c r="C144" s="11" t="inlineStr">
        <is>
          <t>PLM Pseudo-Perplexity</t>
        </is>
      </c>
      <c r="D144" s="9" t="inlineStr">
        <is>
          <t>Analytical Size Exclusion Chromatography</t>
        </is>
      </c>
      <c r="E144" s="9" t="n">
        <v>1611</v>
      </c>
      <c r="F144" s="9" t="inlineStr">
        <is>
          <t xml:space="preserve"> 0.142***</t>
        </is>
      </c>
      <c r="G144" s="9" t="n">
        <v>0.445</v>
      </c>
      <c r="H144" s="9" t="n">
        <v>0.603</v>
      </c>
    </row>
    <row r="145">
      <c r="B145" s="11" t="inlineStr">
        <is>
          <t>ESM2 Perplexity</t>
        </is>
      </c>
      <c r="C145" s="11" t="inlineStr">
        <is>
          <t>PLM Pseudo-Perplexity</t>
        </is>
      </c>
      <c r="D145" s="9" t="inlineStr">
        <is>
          <t>Analytical Size Exclusion Chromatography</t>
        </is>
      </c>
      <c r="E145" s="9" t="n">
        <v>1611</v>
      </c>
      <c r="F145" s="9" t="inlineStr">
        <is>
          <t xml:space="preserve"> 0.110***</t>
        </is>
      </c>
      <c r="G145" s="9" t="n">
        <v>0.453</v>
      </c>
      <c r="H145" s="9" t="n">
        <v>0.603</v>
      </c>
    </row>
    <row r="146">
      <c r="B146" s="11" t="inlineStr">
        <is>
          <t>Amplify Perplexity</t>
        </is>
      </c>
      <c r="C146" s="11" t="inlineStr">
        <is>
          <t>PLM Pseudo-Perplexity</t>
        </is>
      </c>
      <c r="D146" s="9" t="inlineStr">
        <is>
          <t>Thermostability (onset)</t>
        </is>
      </c>
      <c r="E146" s="9" t="n">
        <v>1565</v>
      </c>
      <c r="F146" s="9" t="inlineStr">
        <is>
          <t>-0.091***</t>
        </is>
      </c>
      <c r="G146" s="9" t="n">
        <v>0.548</v>
      </c>
      <c r="H146" s="9" t="n">
        <v>0.613</v>
      </c>
    </row>
    <row r="147">
      <c r="B147" s="11" t="inlineStr">
        <is>
          <t>ESM2 Perplexity</t>
        </is>
      </c>
      <c r="C147" s="11" t="inlineStr">
        <is>
          <t>PLM Pseudo-Perplexity</t>
        </is>
      </c>
      <c r="D147" s="9" t="inlineStr">
        <is>
          <t>Thermostability (onset)</t>
        </is>
      </c>
      <c r="E147" s="9" t="n">
        <v>1565</v>
      </c>
      <c r="F147" s="9" t="inlineStr">
        <is>
          <t>-0.151***</t>
        </is>
      </c>
      <c r="G147" s="9" t="n">
        <v>0.588</v>
      </c>
      <c r="H147" s="9" t="n">
        <v>0.613</v>
      </c>
    </row>
    <row r="148">
      <c r="B148" s="11" t="inlineStr">
        <is>
          <t>Amplify Perplexity</t>
        </is>
      </c>
      <c r="C148" s="11" t="inlineStr">
        <is>
          <t>PLM Pseudo-Perplexity</t>
        </is>
      </c>
      <c r="D148" s="9" t="inlineStr">
        <is>
          <t>Thermostability (Tm1)</t>
        </is>
      </c>
      <c r="E148" s="9" t="n">
        <v>1568</v>
      </c>
      <c r="F148" s="9" t="inlineStr">
        <is>
          <t xml:space="preserve">-0.074** </t>
        </is>
      </c>
      <c r="G148" s="9" t="n">
        <v>0.518</v>
      </c>
      <c r="H148" s="9" t="n">
        <v>0.582</v>
      </c>
    </row>
    <row r="149">
      <c r="B149" s="11" t="inlineStr">
        <is>
          <t>ESM2 Perplexity</t>
        </is>
      </c>
      <c r="C149" s="11" t="inlineStr">
        <is>
          <t>PLM Pseudo-Perplexity</t>
        </is>
      </c>
      <c r="D149" s="9" t="inlineStr">
        <is>
          <t>Thermostability (Tm1)</t>
        </is>
      </c>
      <c r="E149" s="9" t="n">
        <v>1568</v>
      </c>
      <c r="F149" s="9" t="inlineStr">
        <is>
          <t>-0.148***</t>
        </is>
      </c>
      <c r="G149" s="9" t="n">
        <v>0.5570000000000001</v>
      </c>
      <c r="H149" s="9" t="n">
        <v>0.582</v>
      </c>
    </row>
    <row r="150">
      <c r="B150" s="11" t="inlineStr">
        <is>
          <t>Amplify Perplexity</t>
        </is>
      </c>
      <c r="C150" s="11" t="inlineStr">
        <is>
          <t>PLM Pseudo-Perplexity</t>
        </is>
      </c>
      <c r="D150" s="9" t="inlineStr">
        <is>
          <t>Thermostability (Tm2)</t>
        </is>
      </c>
      <c r="E150" s="9" t="n">
        <v>1196</v>
      </c>
      <c r="F150" s="9" t="inlineStr">
        <is>
          <t xml:space="preserve">-0.062*  </t>
        </is>
      </c>
      <c r="G150" s="9" t="n">
        <v>0.542</v>
      </c>
      <c r="H150" s="9" t="n">
        <v>0.635</v>
      </c>
    </row>
    <row r="151">
      <c r="B151" s="11" t="inlineStr">
        <is>
          <t>ESM2 Perplexity</t>
        </is>
      </c>
      <c r="C151" s="11" t="inlineStr">
        <is>
          <t>PLM Pseudo-Perplexity</t>
        </is>
      </c>
      <c r="D151" s="9" t="inlineStr">
        <is>
          <t>Thermostability (Tm2)</t>
        </is>
      </c>
      <c r="E151" s="9" t="n">
        <v>1196</v>
      </c>
      <c r="F151" s="9" t="inlineStr">
        <is>
          <t>-0.104***</t>
        </is>
      </c>
      <c r="G151" s="9" t="n">
        <v>0.555</v>
      </c>
      <c r="H151" s="9" t="n">
        <v>0.635</v>
      </c>
    </row>
    <row r="152">
      <c r="B152" s="11" t="inlineStr">
        <is>
          <t>Amplify Perplexity</t>
        </is>
      </c>
      <c r="C152" s="11" t="inlineStr">
        <is>
          <t>PLM Pseudo-Perplexity</t>
        </is>
      </c>
      <c r="D152" s="9" t="inlineStr">
        <is>
          <t>Thermostability (Tm3)</t>
        </is>
      </c>
      <c r="E152" s="9" t="n">
        <v>189</v>
      </c>
      <c r="F152" s="9" t="inlineStr">
        <is>
          <t xml:space="preserve">-0.102   </t>
        </is>
      </c>
      <c r="G152" s="9" t="n">
        <v>0.626</v>
      </c>
      <c r="H152" s="9" t="n">
        <v>0.423</v>
      </c>
    </row>
    <row r="153">
      <c r="B153" s="11" t="inlineStr">
        <is>
          <t>ESM2 Perplexity</t>
        </is>
      </c>
      <c r="C153" s="11" t="inlineStr">
        <is>
          <t>PLM Pseudo-Perplexity</t>
        </is>
      </c>
      <c r="D153" s="9" t="inlineStr">
        <is>
          <t>Thermostability (Tm3)</t>
        </is>
      </c>
      <c r="E153" s="9" t="n">
        <v>189</v>
      </c>
      <c r="F153" s="9" t="inlineStr">
        <is>
          <t>-0.245***</t>
        </is>
      </c>
      <c r="G153" s="9" t="n">
        <v>0.664</v>
      </c>
      <c r="H153" s="9" t="n">
        <v>0.423</v>
      </c>
    </row>
    <row r="154">
      <c r="B154" s="11" t="inlineStr">
        <is>
          <t>Amplify Perplexity</t>
        </is>
      </c>
      <c r="C154" s="11" t="inlineStr">
        <is>
          <t>PLM Pseudo-Perplexity</t>
        </is>
      </c>
      <c r="D154" s="9" t="inlineStr">
        <is>
          <t>Aggregation (Polydispersity idx)</t>
        </is>
      </c>
      <c r="E154" s="9" t="n">
        <v>1435</v>
      </c>
      <c r="F154" s="9" t="inlineStr">
        <is>
          <t xml:space="preserve"> 0.177***</t>
        </is>
      </c>
      <c r="G154" s="9" t="n">
        <v>0.424</v>
      </c>
      <c r="H154" s="9" t="n">
        <v>0.762</v>
      </c>
    </row>
    <row r="155">
      <c r="B155" s="11" t="inlineStr">
        <is>
          <t>ESM2 Perplexity</t>
        </is>
      </c>
      <c r="C155" s="11" t="inlineStr">
        <is>
          <t>PLM Pseudo-Perplexity</t>
        </is>
      </c>
      <c r="D155" s="9" t="inlineStr">
        <is>
          <t>Aggregation (Polydispersity idx)</t>
        </is>
      </c>
      <c r="E155" s="9" t="n">
        <v>1435</v>
      </c>
      <c r="F155" s="9" t="inlineStr">
        <is>
          <t xml:space="preserve"> 0.254***</t>
        </is>
      </c>
      <c r="G155" s="9" t="n">
        <v>0.379</v>
      </c>
      <c r="H155" s="9" t="n">
        <v>0.762</v>
      </c>
    </row>
    <row r="156">
      <c r="B156" s="11" t="inlineStr">
        <is>
          <t>Amplify Perplexity</t>
        </is>
      </c>
      <c r="C156" s="11" t="inlineStr">
        <is>
          <t>PLM Pseudo-Perplexity</t>
        </is>
      </c>
      <c r="D156" s="9" t="inlineStr">
        <is>
          <t>Polyreactivity (absorbance)</t>
        </is>
      </c>
      <c r="E156" s="9" t="n">
        <v>1442</v>
      </c>
      <c r="F156" s="9" t="inlineStr">
        <is>
          <t xml:space="preserve">-0.050   </t>
        </is>
      </c>
      <c r="G156" s="9" t="n">
        <v>0.515</v>
      </c>
      <c r="H156" s="9" t="n">
        <v>0.6899999999999999</v>
      </c>
    </row>
    <row r="157">
      <c r="B157" s="11" t="inlineStr">
        <is>
          <t>ESM2 Perplexity</t>
        </is>
      </c>
      <c r="C157" s="11" t="inlineStr">
        <is>
          <t>PLM Pseudo-Perplexity</t>
        </is>
      </c>
      <c r="D157" s="9" t="inlineStr">
        <is>
          <t>Polyreactivity (absorbance)</t>
        </is>
      </c>
      <c r="E157" s="9" t="n">
        <v>1442</v>
      </c>
      <c r="F157" s="9" t="inlineStr">
        <is>
          <t xml:space="preserve">-0.012   </t>
        </is>
      </c>
      <c r="G157" s="9" t="n">
        <v>0.491</v>
      </c>
      <c r="H157" s="9" t="n">
        <v>0.6899999999999999</v>
      </c>
    </row>
    <row r="158">
      <c r="B158" s="11" t="inlineStr">
        <is>
          <t>Amplify Perplexity</t>
        </is>
      </c>
      <c r="C158" s="11" t="inlineStr">
        <is>
          <t>PLM Pseudo-Perplexity</t>
        </is>
      </c>
      <c r="D158" s="9" t="inlineStr">
        <is>
          <t>Hydrophobicity</t>
        </is>
      </c>
      <c r="E158" s="9" t="n">
        <v>1442</v>
      </c>
      <c r="F158" s="9" t="inlineStr">
        <is>
          <t xml:space="preserve"> 0.153***</t>
        </is>
      </c>
      <c r="G158" s="9" t="inlineStr">
        <is>
          <t>-</t>
        </is>
      </c>
      <c r="H158" s="9" t="inlineStr">
        <is>
          <t>-</t>
        </is>
      </c>
    </row>
    <row r="159">
      <c r="B159" s="11" t="n"/>
      <c r="C159" s="11" t="n"/>
    </row>
    <row r="160">
      <c r="B160" s="11" t="n"/>
      <c r="C160" s="11" t="n"/>
    </row>
    <row r="161"/>
    <row r="162"/>
    <row r="163">
      <c r="B163" s="8" t="inlineStr">
        <is>
          <t>Module output</t>
        </is>
      </c>
      <c r="C163" s="8" t="inlineStr">
        <is>
          <t>Module name</t>
        </is>
      </c>
      <c r="D163" s="8" t="inlineStr">
        <is>
          <t>Property category</t>
        </is>
      </c>
      <c r="E163" s="8" t="inlineStr">
        <is>
          <t>Sample size</t>
        </is>
      </c>
      <c r="F163" s="8" t="inlineStr">
        <is>
          <t>Spearman correlation</t>
        </is>
      </c>
      <c r="G163" s="8" t="inlineStr">
        <is>
          <t>AuROC</t>
        </is>
      </c>
      <c r="H163" s="8" t="inlineStr">
        <is>
          <t>Positive ratio</t>
        </is>
      </c>
    </row>
    <row r="164">
      <c r="B164" s="11" t="inlineStr">
        <is>
          <t>TNP CDR3 length-transformed</t>
        </is>
      </c>
      <c r="C164" s="11" t="inlineStr">
        <is>
          <t>TNP</t>
        </is>
      </c>
      <c r="D164" s="9" t="inlineStr">
        <is>
          <t>Thermostability (Tm3)</t>
        </is>
      </c>
      <c r="E164" s="9" t="n">
        <v>177</v>
      </c>
      <c r="F164" s="9" t="inlineStr">
        <is>
          <t xml:space="preserve">-0.155*  </t>
        </is>
      </c>
      <c r="G164" s="9" t="n">
        <v>0.618</v>
      </c>
      <c r="H164" s="9" t="n">
        <v>0.418</v>
      </c>
    </row>
    <row r="165">
      <c r="B165" s="11" t="inlineStr">
        <is>
          <t>TNP CDR3 Compactness</t>
        </is>
      </c>
      <c r="C165" s="11" t="inlineStr">
        <is>
          <t>TNP</t>
        </is>
      </c>
      <c r="D165" s="9" t="inlineStr">
        <is>
          <t>Thermostability (Tm3)</t>
        </is>
      </c>
      <c r="E165" s="9" t="n">
        <v>177</v>
      </c>
      <c r="F165" s="9" t="inlineStr">
        <is>
          <t xml:space="preserve"> 0.146   </t>
        </is>
      </c>
      <c r="G165" s="9" t="n">
        <v>0.464</v>
      </c>
      <c r="H165" s="9" t="n">
        <v>0.418</v>
      </c>
    </row>
    <row r="166">
      <c r="B166" s="11" t="inlineStr">
        <is>
          <t>TNP CDR3 Compactness-transformed</t>
        </is>
      </c>
      <c r="C166" s="11" t="inlineStr">
        <is>
          <t>TNP</t>
        </is>
      </c>
      <c r="D166" s="9" t="inlineStr">
        <is>
          <t>Thermostability (Tm3)</t>
        </is>
      </c>
      <c r="E166" s="9" t="n">
        <v>177</v>
      </c>
      <c r="F166" s="9" t="inlineStr">
        <is>
          <t xml:space="preserve">-0.093   </t>
        </is>
      </c>
      <c r="G166" s="9" t="n">
        <v>0.5639999999999999</v>
      </c>
      <c r="H166" s="9" t="n">
        <v>0.418</v>
      </c>
    </row>
    <row r="167">
      <c r="B167" s="11" t="inlineStr">
        <is>
          <t>TNP Patches of Positive Charge (CDR-vicinity)</t>
        </is>
      </c>
      <c r="C167" s="11" t="inlineStr">
        <is>
          <t>TNP</t>
        </is>
      </c>
      <c r="D167" s="9" t="inlineStr">
        <is>
          <t>Thermostability (Tm3)</t>
        </is>
      </c>
      <c r="E167" s="9" t="n">
        <v>177</v>
      </c>
      <c r="F167" s="9" t="inlineStr">
        <is>
          <t xml:space="preserve"> 0.050   </t>
        </is>
      </c>
      <c r="G167" s="9" t="n">
        <v>0.502</v>
      </c>
      <c r="H167" s="9" t="n">
        <v>0.418</v>
      </c>
    </row>
    <row r="168">
      <c r="B168" s="11" t="inlineStr">
        <is>
          <t>TNP Patches of Negative Charge (CDR-vicinity)</t>
        </is>
      </c>
      <c r="C168" s="11" t="inlineStr">
        <is>
          <t>TNP</t>
        </is>
      </c>
      <c r="D168" s="9" t="inlineStr">
        <is>
          <t>Thermostability (Tm3)</t>
        </is>
      </c>
      <c r="E168" s="9" t="n">
        <v>177</v>
      </c>
      <c r="F168" s="9" t="inlineStr">
        <is>
          <t xml:space="preserve"> 0.264***</t>
        </is>
      </c>
      <c r="G168" s="9" t="n">
        <v>0.6879999999999999</v>
      </c>
      <c r="H168" s="9" t="n">
        <v>0.418</v>
      </c>
    </row>
    <row r="169">
      <c r="B169" s="11" t="inlineStr">
        <is>
          <t>TNP Total CDR length</t>
        </is>
      </c>
      <c r="C169" s="11" t="inlineStr">
        <is>
          <t>TNP</t>
        </is>
      </c>
      <c r="D169" s="9" t="inlineStr">
        <is>
          <t>Aggregation (Polydispersity idx)</t>
        </is>
      </c>
      <c r="E169" s="9" t="n">
        <v>1287</v>
      </c>
      <c r="F169" s="9" t="inlineStr">
        <is>
          <t xml:space="preserve"> 0.004   </t>
        </is>
      </c>
      <c r="G169" s="9" t="n">
        <v>0.52</v>
      </c>
      <c r="H169" s="9" t="n">
        <v>0.765</v>
      </c>
    </row>
    <row r="170">
      <c r="B170" s="11" t="inlineStr">
        <is>
          <t>TNP Total CDR length-transformed</t>
        </is>
      </c>
      <c r="C170" s="11" t="inlineStr">
        <is>
          <t>TNP</t>
        </is>
      </c>
      <c r="D170" s="9" t="inlineStr">
        <is>
          <t>Aggregation (Polydispersity idx)</t>
        </is>
      </c>
      <c r="E170" s="9" t="n">
        <v>1287</v>
      </c>
      <c r="F170" s="9" t="inlineStr">
        <is>
          <t xml:space="preserve">-0.046   </t>
        </is>
      </c>
      <c r="G170" s="9" t="n">
        <v>0.536</v>
      </c>
      <c r="H170" s="9" t="n">
        <v>0.765</v>
      </c>
    </row>
    <row r="171">
      <c r="B171" s="11" t="inlineStr">
        <is>
          <t>TNP CDR3 length</t>
        </is>
      </c>
      <c r="C171" s="11" t="inlineStr">
        <is>
          <t>TNP</t>
        </is>
      </c>
      <c r="D171" s="9" t="inlineStr">
        <is>
          <t>Aggregation (Polydispersity idx)</t>
        </is>
      </c>
      <c r="E171" s="9" t="n">
        <v>1287</v>
      </c>
      <c r="F171" s="9" t="inlineStr">
        <is>
          <t xml:space="preserve"> 0.012   </t>
        </is>
      </c>
      <c r="G171" s="9" t="n">
        <v>0.524</v>
      </c>
      <c r="H171" s="9" t="n">
        <v>0.765</v>
      </c>
    </row>
    <row r="172">
      <c r="B172" s="11" t="inlineStr">
        <is>
          <t>TNP CDR3 length-transformed</t>
        </is>
      </c>
      <c r="C172" s="11" t="inlineStr">
        <is>
          <t>TNP</t>
        </is>
      </c>
      <c r="D172" s="9" t="inlineStr">
        <is>
          <t>Aggregation (Polydispersity idx)</t>
        </is>
      </c>
      <c r="E172" s="9" t="n">
        <v>1287</v>
      </c>
      <c r="F172" s="9" t="inlineStr">
        <is>
          <t xml:space="preserve">-0.055*  </t>
        </is>
      </c>
      <c r="G172" s="9" t="n">
        <v>0.546</v>
      </c>
      <c r="H172" s="9" t="n">
        <v>0.765</v>
      </c>
    </row>
    <row r="173">
      <c r="B173" s="11" t="inlineStr">
        <is>
          <t>TNP CDR3 Compactness</t>
        </is>
      </c>
      <c r="C173" s="11" t="inlineStr">
        <is>
          <t>TNP</t>
        </is>
      </c>
      <c r="D173" s="9" t="inlineStr">
        <is>
          <t>Aggregation (Polydispersity idx)</t>
        </is>
      </c>
      <c r="E173" s="9" t="n">
        <v>1287</v>
      </c>
      <c r="F173" s="9" t="inlineStr">
        <is>
          <t xml:space="preserve"> 0.003   </t>
        </is>
      </c>
      <c r="G173" s="9" t="n">
        <v>0.55</v>
      </c>
      <c r="H173" s="9" t="n">
        <v>0.765</v>
      </c>
    </row>
    <row r="174">
      <c r="B174" s="11" t="inlineStr">
        <is>
          <t>TNP CDR3 Compactness-transformed</t>
        </is>
      </c>
      <c r="C174" s="11" t="inlineStr">
        <is>
          <t>TNP</t>
        </is>
      </c>
      <c r="D174" s="9" t="inlineStr">
        <is>
          <t>Aggregation (Polydispersity idx)</t>
        </is>
      </c>
      <c r="E174" s="9" t="n">
        <v>1287</v>
      </c>
      <c r="F174" s="9" t="inlineStr">
        <is>
          <t xml:space="preserve"> 0.004   </t>
        </is>
      </c>
      <c r="G174" s="9" t="n">
        <v>0.5</v>
      </c>
      <c r="H174" s="9" t="n">
        <v>0.765</v>
      </c>
    </row>
    <row r="175">
      <c r="B175" s="11" t="inlineStr">
        <is>
          <t>TNP Patches of Positive Charge (CDR-vicinity)</t>
        </is>
      </c>
      <c r="C175" s="11" t="inlineStr">
        <is>
          <t>TNP</t>
        </is>
      </c>
      <c r="D175" s="9" t="inlineStr">
        <is>
          <t>Aggregation (Polydispersity idx)</t>
        </is>
      </c>
      <c r="E175" s="9" t="n">
        <v>1287</v>
      </c>
      <c r="F175" s="9" t="inlineStr">
        <is>
          <t xml:space="preserve"> 0.049   </t>
        </is>
      </c>
      <c r="G175" s="9" t="n">
        <v>0.509</v>
      </c>
      <c r="H175" s="9" t="n">
        <v>0.765</v>
      </c>
    </row>
    <row r="176">
      <c r="B176" s="11" t="inlineStr">
        <is>
          <t>TNP Patches of Negative Charge (CDR-vicinity)</t>
        </is>
      </c>
      <c r="C176" s="11" t="inlineStr">
        <is>
          <t>TNP</t>
        </is>
      </c>
      <c r="D176" s="9" t="inlineStr">
        <is>
          <t>Aggregation (Polydispersity idx)</t>
        </is>
      </c>
      <c r="E176" s="9" t="n">
        <v>1287</v>
      </c>
      <c r="F176" s="9" t="inlineStr">
        <is>
          <t xml:space="preserve">-0.001   </t>
        </is>
      </c>
      <c r="G176" s="9" t="n">
        <v>0.505</v>
      </c>
      <c r="H176" s="9" t="n">
        <v>0.765</v>
      </c>
    </row>
    <row r="177">
      <c r="B177" s="11" t="inlineStr">
        <is>
          <t>TNP Total CDR length</t>
        </is>
      </c>
      <c r="C177" s="11" t="inlineStr">
        <is>
          <t>TNP</t>
        </is>
      </c>
      <c r="D177" s="9" t="inlineStr">
        <is>
          <t>Polyreactivity (absorbance)</t>
        </is>
      </c>
      <c r="E177" s="9" t="n">
        <v>1294</v>
      </c>
      <c r="F177" s="9" t="inlineStr">
        <is>
          <t xml:space="preserve"> 0.182***</t>
        </is>
      </c>
      <c r="G177" s="9" t="n">
        <v>0.406</v>
      </c>
      <c r="H177" s="9" t="n">
        <v>0.6879999999999999</v>
      </c>
    </row>
    <row r="178">
      <c r="B178" s="11" t="inlineStr">
        <is>
          <t>TNP Total CDR length-transformed</t>
        </is>
      </c>
      <c r="C178" s="11" t="inlineStr">
        <is>
          <t>TNP</t>
        </is>
      </c>
      <c r="D178" s="9" t="inlineStr">
        <is>
          <t>Polyreactivity (absorbance)</t>
        </is>
      </c>
      <c r="E178" s="9" t="n">
        <v>1294</v>
      </c>
      <c r="F178" s="9" t="inlineStr">
        <is>
          <t xml:space="preserve"> 0.043   </t>
        </is>
      </c>
      <c r="G178" s="9" t="n">
        <v>0.477</v>
      </c>
      <c r="H178" s="9" t="n">
        <v>0.6879999999999999</v>
      </c>
    </row>
    <row r="179">
      <c r="B179" s="11" t="inlineStr">
        <is>
          <t>TNP CDR3 length</t>
        </is>
      </c>
      <c r="C179" s="11" t="inlineStr">
        <is>
          <t>TNP</t>
        </is>
      </c>
      <c r="D179" s="9" t="inlineStr">
        <is>
          <t>Polyreactivity (absorbance)</t>
        </is>
      </c>
      <c r="E179" s="9" t="n">
        <v>1294</v>
      </c>
      <c r="F179" s="9" t="inlineStr">
        <is>
          <t xml:space="preserve"> 0.180***</t>
        </is>
      </c>
      <c r="G179" s="9" t="n">
        <v>0.407</v>
      </c>
      <c r="H179" s="9" t="n">
        <v>0.6879999999999999</v>
      </c>
    </row>
    <row r="180">
      <c r="B180" s="11" t="inlineStr">
        <is>
          <t>TNP CDR3 length-transformed</t>
        </is>
      </c>
      <c r="C180" s="11" t="inlineStr">
        <is>
          <t>TNP</t>
        </is>
      </c>
      <c r="D180" s="9" t="inlineStr">
        <is>
          <t>Polyreactivity (absorbance)</t>
        </is>
      </c>
      <c r="E180" s="9" t="n">
        <v>1294</v>
      </c>
      <c r="F180" s="9" t="inlineStr">
        <is>
          <t xml:space="preserve"> 0.011   </t>
        </is>
      </c>
      <c r="G180" s="9" t="n">
        <v>0.495</v>
      </c>
      <c r="H180" s="9" t="n">
        <v>0.6879999999999999</v>
      </c>
    </row>
    <row r="181">
      <c r="B181" s="11" t="inlineStr">
        <is>
          <t>TNP CDR3 Compactness</t>
        </is>
      </c>
      <c r="C181" s="11" t="inlineStr">
        <is>
          <t>TNP</t>
        </is>
      </c>
      <c r="D181" s="9" t="inlineStr">
        <is>
          <t>Polyreactivity (absorbance)</t>
        </is>
      </c>
      <c r="E181" s="9" t="n">
        <v>1294</v>
      </c>
      <c r="F181" s="9" t="inlineStr">
        <is>
          <t xml:space="preserve"> 0.135***</t>
        </is>
      </c>
      <c r="G181" s="9" t="n">
        <v>0.434</v>
      </c>
      <c r="H181" s="9" t="n">
        <v>0.6879999999999999</v>
      </c>
    </row>
    <row r="182">
      <c r="B182" s="11" t="inlineStr">
        <is>
          <t>TNP CDR3 Compactness-transformed</t>
        </is>
      </c>
      <c r="C182" s="11" t="inlineStr">
        <is>
          <t>TNP</t>
        </is>
      </c>
      <c r="D182" s="9" t="inlineStr">
        <is>
          <t>Polyreactivity (absorbance)</t>
        </is>
      </c>
      <c r="E182" s="9" t="n">
        <v>1294</v>
      </c>
      <c r="F182" s="9" t="inlineStr">
        <is>
          <t xml:space="preserve"> 0.026   </t>
        </is>
      </c>
      <c r="G182" s="9" t="n">
        <v>0.479</v>
      </c>
      <c r="H182" s="9" t="n">
        <v>0.6879999999999999</v>
      </c>
    </row>
    <row r="183">
      <c r="B183" s="11" t="inlineStr">
        <is>
          <t>TNP Patches of Positive Charge (CDR-vicinity)</t>
        </is>
      </c>
      <c r="C183" s="11" t="inlineStr">
        <is>
          <t>TNP</t>
        </is>
      </c>
      <c r="D183" s="9" t="inlineStr">
        <is>
          <t>Polyreactivity (absorbance)</t>
        </is>
      </c>
      <c r="E183" s="9" t="n">
        <v>1294</v>
      </c>
      <c r="F183" s="9" t="inlineStr">
        <is>
          <t xml:space="preserve"> 0.136***</t>
        </is>
      </c>
      <c r="G183" s="9" t="n">
        <v>0.5679999999999999</v>
      </c>
      <c r="H183" s="9" t="n">
        <v>0.6879999999999999</v>
      </c>
    </row>
    <row r="184"/>
    <row r="185">
      <c r="B185" s="8" t="inlineStr">
        <is>
          <t>Module output</t>
        </is>
      </c>
      <c r="C185" s="8" t="inlineStr">
        <is>
          <t>Module name</t>
        </is>
      </c>
      <c r="D185" s="8" t="inlineStr">
        <is>
          <t>Property category</t>
        </is>
      </c>
      <c r="E185" s="8" t="inlineStr">
        <is>
          <t>Sample size</t>
        </is>
      </c>
      <c r="F185" s="8" t="inlineStr">
        <is>
          <t>Spearman correlation</t>
        </is>
      </c>
      <c r="G185" s="8" t="inlineStr">
        <is>
          <t>AuROC</t>
        </is>
      </c>
      <c r="H185" s="8" t="inlineStr">
        <is>
          <t>Positive ratio</t>
        </is>
      </c>
    </row>
    <row r="186">
      <c r="B186" s="11" t="inlineStr">
        <is>
          <t>TNP Patches of Negative Charge (CDR-vicinity)</t>
        </is>
      </c>
      <c r="C186" s="11" t="inlineStr">
        <is>
          <t>TNP</t>
        </is>
      </c>
      <c r="D186" s="9" t="inlineStr">
        <is>
          <t>Polyreactivity (absorbance)</t>
        </is>
      </c>
      <c r="E186" s="9" t="n">
        <v>1294</v>
      </c>
      <c r="F186" s="9" t="inlineStr">
        <is>
          <t xml:space="preserve"> 0.048   </t>
        </is>
      </c>
      <c r="G186" s="9" t="n">
        <v>0.542</v>
      </c>
      <c r="H186" s="9" t="n">
        <v>0.6879999999999999</v>
      </c>
    </row>
    <row r="187">
      <c r="B187" s="11" t="inlineStr">
        <is>
          <t>TNP Total CDR length</t>
        </is>
      </c>
      <c r="C187" s="11" t="inlineStr">
        <is>
          <t>TNP</t>
        </is>
      </c>
      <c r="D187" s="9" t="inlineStr">
        <is>
          <t>Hydrophobicity</t>
        </is>
      </c>
      <c r="E187" s="9" t="n">
        <v>1294</v>
      </c>
      <c r="F187" s="9" t="inlineStr">
        <is>
          <t>-0.180***</t>
        </is>
      </c>
      <c r="G187" s="9" t="inlineStr">
        <is>
          <t>-</t>
        </is>
      </c>
      <c r="H187" s="9" t="inlineStr">
        <is>
          <t>-</t>
        </is>
      </c>
    </row>
    <row r="188">
      <c r="B188" s="11" t="inlineStr">
        <is>
          <t>TNP Total CDR length-transformed</t>
        </is>
      </c>
      <c r="C188" s="11" t="inlineStr">
        <is>
          <t>TNP</t>
        </is>
      </c>
      <c r="D188" s="9" t="inlineStr">
        <is>
          <t>Hydrophobicity</t>
        </is>
      </c>
      <c r="E188" s="9" t="n">
        <v>1294</v>
      </c>
      <c r="F188" s="9" t="inlineStr">
        <is>
          <t xml:space="preserve"> 0.059*  </t>
        </is>
      </c>
      <c r="G188" s="9" t="inlineStr">
        <is>
          <t>-</t>
        </is>
      </c>
      <c r="H188" s="9" t="inlineStr">
        <is>
          <t>-</t>
        </is>
      </c>
    </row>
    <row r="189">
      <c r="B189" s="11" t="inlineStr">
        <is>
          <t>TNP CDR3 length</t>
        </is>
      </c>
      <c r="C189" s="11" t="inlineStr">
        <is>
          <t>TNP</t>
        </is>
      </c>
      <c r="D189" s="9" t="inlineStr">
        <is>
          <t>Hydrophobicity</t>
        </is>
      </c>
      <c r="E189" s="9" t="n">
        <v>1294</v>
      </c>
      <c r="F189" s="9" t="inlineStr">
        <is>
          <t>-0.177***</t>
        </is>
      </c>
      <c r="G189" s="9" t="inlineStr">
        <is>
          <t>-</t>
        </is>
      </c>
      <c r="H189" s="9" t="inlineStr">
        <is>
          <t>-</t>
        </is>
      </c>
    </row>
    <row r="190">
      <c r="B190" s="11" t="inlineStr">
        <is>
          <t>TNP CDR3 length-transformed</t>
        </is>
      </c>
      <c r="C190" s="11" t="inlineStr">
        <is>
          <t>TNP</t>
        </is>
      </c>
      <c r="D190" s="9" t="inlineStr">
        <is>
          <t>Hydrophobicity</t>
        </is>
      </c>
      <c r="E190" s="9" t="n">
        <v>1294</v>
      </c>
      <c r="F190" s="9" t="inlineStr">
        <is>
          <t xml:space="preserve"> 0.073** </t>
        </is>
      </c>
      <c r="G190" s="9" t="inlineStr">
        <is>
          <t>-</t>
        </is>
      </c>
      <c r="H190" s="9" t="inlineStr">
        <is>
          <t>-</t>
        </is>
      </c>
    </row>
    <row r="191">
      <c r="B191" s="11" t="inlineStr">
        <is>
          <t>TNP CDR3 Compactness</t>
        </is>
      </c>
      <c r="C191" s="11" t="inlineStr">
        <is>
          <t>TNP</t>
        </is>
      </c>
      <c r="D191" s="9" t="inlineStr">
        <is>
          <t>Hydrophobicity</t>
        </is>
      </c>
      <c r="E191" s="9" t="n">
        <v>1294</v>
      </c>
      <c r="F191" s="9" t="inlineStr">
        <is>
          <t>-0.122***</t>
        </is>
      </c>
      <c r="G191" s="9" t="inlineStr">
        <is>
          <t>-</t>
        </is>
      </c>
      <c r="H191" s="9" t="inlineStr">
        <is>
          <t>-</t>
        </is>
      </c>
    </row>
    <row r="192">
      <c r="B192" s="11" t="inlineStr">
        <is>
          <t>TNP CDR3 Compactness-transformed</t>
        </is>
      </c>
      <c r="C192" s="11" t="inlineStr">
        <is>
          <t>TNP</t>
        </is>
      </c>
      <c r="D192" s="9" t="inlineStr">
        <is>
          <t>Hydrophobicity</t>
        </is>
      </c>
      <c r="E192" s="9" t="n">
        <v>1294</v>
      </c>
      <c r="F192" s="9" t="inlineStr">
        <is>
          <t xml:space="preserve"> 0.085** </t>
        </is>
      </c>
      <c r="G192" s="9" t="inlineStr">
        <is>
          <t>-</t>
        </is>
      </c>
      <c r="H192" s="9" t="inlineStr">
        <is>
          <t>-</t>
        </is>
      </c>
    </row>
    <row r="193">
      <c r="B193" s="11" t="inlineStr">
        <is>
          <t>TNP Patches of Surface Hydrophobicity (CDR-vicinity)</t>
        </is>
      </c>
      <c r="C193" s="11" t="inlineStr">
        <is>
          <t>TNP</t>
        </is>
      </c>
      <c r="D193" s="9" t="inlineStr">
        <is>
          <t>Hydrophobicity</t>
        </is>
      </c>
      <c r="E193" s="9" t="n">
        <v>1294</v>
      </c>
      <c r="F193" s="9" t="inlineStr">
        <is>
          <t>-0.329***</t>
        </is>
      </c>
      <c r="G193" s="9" t="inlineStr">
        <is>
          <t>-</t>
        </is>
      </c>
      <c r="H193" s="9" t="inlineStr">
        <is>
          <t>-</t>
        </is>
      </c>
    </row>
    <row r="194">
      <c r="B194" s="11" t="inlineStr">
        <is>
          <t>TNP Patches of Positive Charge (CDR-vicinity)</t>
        </is>
      </c>
      <c r="C194" s="11" t="inlineStr">
        <is>
          <t>TNP</t>
        </is>
      </c>
      <c r="D194" s="9" t="inlineStr">
        <is>
          <t>Hydrophobicity</t>
        </is>
      </c>
      <c r="E194" s="9" t="n">
        <v>1294</v>
      </c>
      <c r="F194" s="9" t="inlineStr">
        <is>
          <t xml:space="preserve"> 0.130***</t>
        </is>
      </c>
      <c r="G194" s="9" t="inlineStr">
        <is>
          <t>-</t>
        </is>
      </c>
      <c r="H194" s="9" t="inlineStr">
        <is>
          <t>-</t>
        </is>
      </c>
    </row>
    <row r="195">
      <c r="B195" s="11" t="inlineStr">
        <is>
          <t>TNP Patches of Negative Charge (CDR-vicinity)</t>
        </is>
      </c>
      <c r="C195" s="11" t="inlineStr">
        <is>
          <t>TNP</t>
        </is>
      </c>
      <c r="D195" s="9" t="inlineStr">
        <is>
          <t>Hydrophobicity</t>
        </is>
      </c>
      <c r="E195" s="9" t="n">
        <v>1294</v>
      </c>
      <c r="F195" s="9" t="inlineStr">
        <is>
          <t>-0.096***</t>
        </is>
      </c>
      <c r="G195" s="9" t="inlineStr">
        <is>
          <t>-</t>
        </is>
      </c>
      <c r="H195" s="9" t="inlineStr">
        <is>
          <t>-</t>
        </is>
      </c>
    </row>
    <row r="196"/>
    <row r="197"/>
    <row r="198"/>
    <row r="199">
      <c r="B199" s="9" t="inlineStr">
        <is>
          <t>Module output</t>
        </is>
      </c>
      <c r="C199" s="9" t="inlineStr">
        <is>
          <t>Module name</t>
        </is>
      </c>
      <c r="D199" s="9" t="inlineStr">
        <is>
          <t>Property category</t>
        </is>
      </c>
      <c r="E199" s="9" t="inlineStr">
        <is>
          <t>Sample size</t>
        </is>
      </c>
      <c r="F199" s="9" t="inlineStr">
        <is>
          <t>Spearman correlation</t>
        </is>
      </c>
      <c r="G199" s="9" t="inlineStr">
        <is>
          <t>AuROC</t>
        </is>
      </c>
      <c r="H199" s="9" t="inlineStr">
        <is>
          <t>Positive ratio</t>
        </is>
      </c>
    </row>
    <row r="200">
      <c r="B200" s="9" t="inlineStr">
        <is>
          <t>ESM2 Perplexity</t>
        </is>
      </c>
      <c r="C200" s="9" t="inlineStr">
        <is>
          <t>PLM Pseudo-Perplexity</t>
        </is>
      </c>
      <c r="D200" s="9" t="inlineStr">
        <is>
          <t>Hydrophobicity</t>
        </is>
      </c>
      <c r="E200" s="9" t="n">
        <v>1442</v>
      </c>
      <c r="F200" s="9" t="inlineStr">
        <is>
          <t xml:space="preserve"> 0.289***</t>
        </is>
      </c>
      <c r="G200" s="9" t="inlineStr">
        <is>
          <t>-</t>
        </is>
      </c>
      <c r="H200" s="9" t="inlineStr">
        <is>
          <t>-</t>
        </is>
      </c>
    </row>
    <row r="201">
      <c r="B201" s="9" t="inlineStr">
        <is>
          <t>TemStaPro stability score at 40C</t>
        </is>
      </c>
      <c r="C201" s="9" t="inlineStr">
        <is>
          <t>TemStaPro</t>
        </is>
      </c>
      <c r="D201" s="9" t="inlineStr">
        <is>
          <t>Thermostability (onset)</t>
        </is>
      </c>
      <c r="E201" s="9" t="n">
        <v>1565</v>
      </c>
      <c r="F201" s="9" t="inlineStr">
        <is>
          <t xml:space="preserve"> 0.205***</t>
        </is>
      </c>
      <c r="G201" s="9" t="n">
        <v>0.62</v>
      </c>
      <c r="H201" s="9" t="n">
        <v>0.613</v>
      </c>
    </row>
    <row r="202">
      <c r="B202" s="9" t="inlineStr">
        <is>
          <t>TemStaPro stability score at 50C</t>
        </is>
      </c>
      <c r="C202" s="9" t="inlineStr">
        <is>
          <t>TemStaPro</t>
        </is>
      </c>
      <c r="D202" s="9" t="inlineStr">
        <is>
          <t>Thermostability (onset)</t>
        </is>
      </c>
      <c r="E202" s="9" t="n">
        <v>1565</v>
      </c>
      <c r="F202" s="9" t="inlineStr">
        <is>
          <t xml:space="preserve"> 0.210***</t>
        </is>
      </c>
      <c r="G202" s="9" t="n">
        <v>0.626</v>
      </c>
      <c r="H202" s="9" t="n">
        <v>0.613</v>
      </c>
    </row>
    <row r="203">
      <c r="B203" s="9" t="inlineStr">
        <is>
          <t>TemStaPro stability score at 60C</t>
        </is>
      </c>
      <c r="C203" s="9" t="inlineStr">
        <is>
          <t>TemStaPro</t>
        </is>
      </c>
      <c r="D203" s="9" t="inlineStr">
        <is>
          <t>Thermostability (onset)</t>
        </is>
      </c>
      <c r="E203" s="9" t="n">
        <v>1565</v>
      </c>
      <c r="F203" s="9" t="inlineStr">
        <is>
          <t xml:space="preserve"> 0.284***</t>
        </is>
      </c>
      <c r="G203" s="9" t="n">
        <v>0.652</v>
      </c>
      <c r="H203" s="9" t="n">
        <v>0.613</v>
      </c>
    </row>
    <row r="204">
      <c r="B204" s="9" t="inlineStr">
        <is>
          <t>TemStaPro stability score at 80C</t>
        </is>
      </c>
      <c r="C204" s="9" t="inlineStr">
        <is>
          <t>TemStaPro</t>
        </is>
      </c>
      <c r="D204" s="9" t="inlineStr">
        <is>
          <t>Thermostability (onset)</t>
        </is>
      </c>
      <c r="E204" s="9" t="n">
        <v>1565</v>
      </c>
      <c r="F204" s="9" t="inlineStr">
        <is>
          <t xml:space="preserve"> 0.247***</t>
        </is>
      </c>
      <c r="G204" s="9" t="n">
        <v>0.631</v>
      </c>
      <c r="H204" s="9" t="n">
        <v>0.613</v>
      </c>
    </row>
    <row r="205">
      <c r="B205" s="9" t="inlineStr">
        <is>
          <t>TemStaPro stability score at 40C</t>
        </is>
      </c>
      <c r="C205" s="9" t="inlineStr">
        <is>
          <t>TemStaPro</t>
        </is>
      </c>
      <c r="D205" s="9" t="inlineStr">
        <is>
          <t>Thermostability (Tm1)</t>
        </is>
      </c>
      <c r="E205" s="9" t="n">
        <v>1568</v>
      </c>
      <c r="F205" s="9" t="inlineStr">
        <is>
          <t xml:space="preserve"> 0.214***</t>
        </is>
      </c>
      <c r="G205" s="9" t="n">
        <v>0.622</v>
      </c>
      <c r="H205" s="9" t="n">
        <v>0.582</v>
      </c>
    </row>
    <row r="206">
      <c r="B206" s="9" t="inlineStr">
        <is>
          <t>TemStaPro stability score at 50C</t>
        </is>
      </c>
      <c r="C206" s="9" t="inlineStr">
        <is>
          <t>TemStaPro</t>
        </is>
      </c>
      <c r="D206" s="9" t="inlineStr">
        <is>
          <t>Thermostability (Tm1)</t>
        </is>
      </c>
      <c r="E206" s="9" t="n">
        <v>1568</v>
      </c>
      <c r="F206" s="9" t="inlineStr">
        <is>
          <t xml:space="preserve"> 0.215***</t>
        </is>
      </c>
      <c r="G206" s="9" t="n">
        <v>0.62</v>
      </c>
      <c r="H206" s="9" t="n">
        <v>0.582</v>
      </c>
    </row>
    <row r="207">
      <c r="B207" s="9" t="inlineStr">
        <is>
          <t>TemStaPro stability score at 60C</t>
        </is>
      </c>
      <c r="C207" s="9" t="inlineStr">
        <is>
          <t>TemStaPro</t>
        </is>
      </c>
      <c r="D207" s="9" t="inlineStr">
        <is>
          <t>Thermostability (Tm1)</t>
        </is>
      </c>
      <c r="E207" s="9" t="n">
        <v>1568</v>
      </c>
      <c r="F207" s="9" t="inlineStr">
        <is>
          <t xml:space="preserve"> 0.267***</t>
        </is>
      </c>
      <c r="G207" s="9" t="n">
        <v>0.647</v>
      </c>
      <c r="H207" s="9" t="n">
        <v>0.582</v>
      </c>
    </row>
    <row r="208">
      <c r="B208" s="9" t="inlineStr">
        <is>
          <t>TemStaPro stability score at 80C</t>
        </is>
      </c>
      <c r="C208" s="9" t="inlineStr">
        <is>
          <t>TemStaPro</t>
        </is>
      </c>
      <c r="D208" s="9" t="inlineStr">
        <is>
          <t>Thermostability (Tm1)</t>
        </is>
      </c>
      <c r="E208" s="9" t="n">
        <v>1568</v>
      </c>
      <c r="F208" s="9" t="inlineStr">
        <is>
          <t xml:space="preserve"> 0.239***</t>
        </is>
      </c>
      <c r="G208" s="9" t="n">
        <v>0.642</v>
      </c>
      <c r="H208" s="9" t="n">
        <v>0.582</v>
      </c>
    </row>
    <row r="209">
      <c r="B209" s="9" t="inlineStr">
        <is>
          <t>TemStaPro stability score at 40C</t>
        </is>
      </c>
      <c r="C209" s="9" t="inlineStr">
        <is>
          <t>TemStaPro</t>
        </is>
      </c>
      <c r="D209" s="9" t="inlineStr">
        <is>
          <t>Thermostability (Tm2)</t>
        </is>
      </c>
      <c r="E209" s="9" t="n">
        <v>1196</v>
      </c>
      <c r="F209" s="9" t="inlineStr">
        <is>
          <t xml:space="preserve"> 0.126***</t>
        </is>
      </c>
      <c r="G209" s="9" t="n">
        <v>0.58</v>
      </c>
      <c r="H209" s="9" t="n">
        <v>0.635</v>
      </c>
    </row>
    <row r="210">
      <c r="B210" s="9" t="inlineStr">
        <is>
          <t>TemStaPro stability score at 50C</t>
        </is>
      </c>
      <c r="C210" s="9" t="inlineStr">
        <is>
          <t>TemStaPro</t>
        </is>
      </c>
      <c r="D210" s="9" t="inlineStr">
        <is>
          <t>Thermostability (Tm2)</t>
        </is>
      </c>
      <c r="E210" s="9" t="n">
        <v>1196</v>
      </c>
      <c r="F210" s="9" t="inlineStr">
        <is>
          <t xml:space="preserve"> 0.198***</t>
        </is>
      </c>
      <c r="G210" s="9" t="n">
        <v>0.598</v>
      </c>
      <c r="H210" s="9" t="n">
        <v>0.635</v>
      </c>
    </row>
    <row r="211">
      <c r="B211" s="9" t="inlineStr">
        <is>
          <t>TemStaPro stability score at 60C</t>
        </is>
      </c>
      <c r="C211" s="9" t="inlineStr">
        <is>
          <t>TemStaPro</t>
        </is>
      </c>
      <c r="D211" s="9" t="inlineStr">
        <is>
          <t>Thermostability (Tm2)</t>
        </is>
      </c>
      <c r="E211" s="9" t="n">
        <v>1196</v>
      </c>
      <c r="F211" s="9" t="inlineStr">
        <is>
          <t xml:space="preserve"> 0.181***</t>
        </is>
      </c>
      <c r="G211" s="9" t="n">
        <v>0.588</v>
      </c>
      <c r="H211" s="9" t="n">
        <v>0.635</v>
      </c>
    </row>
    <row r="212">
      <c r="B212" s="9" t="inlineStr">
        <is>
          <t>TemStaPro stability score at 80C</t>
        </is>
      </c>
      <c r="C212" s="9" t="inlineStr">
        <is>
          <t>TemStaPro</t>
        </is>
      </c>
      <c r="D212" s="9" t="inlineStr">
        <is>
          <t>Thermostability (Tm2)</t>
        </is>
      </c>
      <c r="E212" s="9" t="n">
        <v>1196</v>
      </c>
      <c r="F212" s="9" t="inlineStr">
        <is>
          <t xml:space="preserve"> 0.117***</t>
        </is>
      </c>
      <c r="G212" s="9" t="n">
        <v>0.5590000000000001</v>
      </c>
      <c r="H212" s="9" t="n">
        <v>0.635</v>
      </c>
    </row>
    <row r="213">
      <c r="B213" s="9" t="inlineStr">
        <is>
          <t>TemStaPro stability score at 40C</t>
        </is>
      </c>
      <c r="C213" s="9" t="inlineStr">
        <is>
          <t>TemStaPro</t>
        </is>
      </c>
      <c r="D213" s="9" t="inlineStr">
        <is>
          <t>Thermostability (Tm3)</t>
        </is>
      </c>
      <c r="E213" s="9" t="n">
        <v>189</v>
      </c>
      <c r="F213" s="9" t="inlineStr">
        <is>
          <t xml:space="preserve"> 0.103   </t>
        </is>
      </c>
      <c r="G213" s="9" t="n">
        <v>0.619</v>
      </c>
      <c r="H213" s="9" t="n">
        <v>0.423</v>
      </c>
    </row>
    <row r="214">
      <c r="B214" s="9" t="inlineStr">
        <is>
          <t>TemStaPro stability score at 50C</t>
        </is>
      </c>
      <c r="C214" s="9" t="inlineStr">
        <is>
          <t>TemStaPro</t>
        </is>
      </c>
      <c r="D214" s="9" t="inlineStr">
        <is>
          <t>Thermostability (Tm3)</t>
        </is>
      </c>
      <c r="E214" s="9" t="n">
        <v>189</v>
      </c>
      <c r="F214" s="9" t="inlineStr">
        <is>
          <t xml:space="preserve"> 0.294***</t>
        </is>
      </c>
      <c r="G214" s="9" t="n">
        <v>0.76</v>
      </c>
      <c r="H214" s="9" t="n">
        <v>0.423</v>
      </c>
    </row>
    <row r="215">
      <c r="B215" s="9" t="inlineStr">
        <is>
          <t>TemStaPro stability score at 60C</t>
        </is>
      </c>
      <c r="C215" s="9" t="inlineStr">
        <is>
          <t>TemStaPro</t>
        </is>
      </c>
      <c r="D215" s="9" t="inlineStr">
        <is>
          <t>Thermostability (Tm3)</t>
        </is>
      </c>
      <c r="E215" s="9" t="n">
        <v>189</v>
      </c>
      <c r="F215" s="9" t="inlineStr">
        <is>
          <t xml:space="preserve"> 0.299***</t>
        </is>
      </c>
      <c r="G215" s="9" t="n">
        <v>0.757</v>
      </c>
      <c r="H215" s="9" t="n">
        <v>0.423</v>
      </c>
    </row>
    <row r="216">
      <c r="B216" s="9" t="inlineStr">
        <is>
          <t>TemStaPro stability score at 80C</t>
        </is>
      </c>
      <c r="C216" s="9" t="inlineStr">
        <is>
          <t>TemStaPro</t>
        </is>
      </c>
      <c r="D216" s="9" t="inlineStr">
        <is>
          <t>Thermostability (Tm3)</t>
        </is>
      </c>
      <c r="E216" s="9" t="n">
        <v>189</v>
      </c>
      <c r="F216" s="9" t="inlineStr">
        <is>
          <t xml:space="preserve"> 0.191** </t>
        </is>
      </c>
      <c r="G216" s="9" t="n">
        <v>0.666</v>
      </c>
      <c r="H216" s="9" t="n">
        <v>0.423</v>
      </c>
    </row>
    <row r="217">
      <c r="B217" s="9" t="inlineStr">
        <is>
          <t>TNP Total CDR length</t>
        </is>
      </c>
      <c r="C217" s="9" t="inlineStr">
        <is>
          <t>TNP</t>
        </is>
      </c>
      <c r="D217" s="9" t="inlineStr">
        <is>
          <t>Titer</t>
        </is>
      </c>
      <c r="E217" s="9" t="n">
        <v>4062</v>
      </c>
      <c r="F217" s="9" t="inlineStr">
        <is>
          <t xml:space="preserve"> 0.068***</t>
        </is>
      </c>
      <c r="G217" s="9" t="n">
        <v>0.452</v>
      </c>
      <c r="H217" s="9" t="n">
        <v>0.326</v>
      </c>
    </row>
    <row r="218">
      <c r="B218" s="9" t="inlineStr">
        <is>
          <t>TNP Total CDR length-transformed</t>
        </is>
      </c>
      <c r="C218" s="9" t="inlineStr">
        <is>
          <t>TNP</t>
        </is>
      </c>
      <c r="D218" s="9" t="inlineStr">
        <is>
          <t>Titer</t>
        </is>
      </c>
      <c r="E218" s="9" t="n">
        <v>4062</v>
      </c>
      <c r="F218" s="9" t="inlineStr">
        <is>
          <t xml:space="preserve"> 0.055***</t>
        </is>
      </c>
      <c r="G218" s="9" t="n">
        <v>0.466</v>
      </c>
      <c r="H218" s="9" t="n">
        <v>0.326</v>
      </c>
    </row>
    <row r="219">
      <c r="B219" s="9" t="inlineStr">
        <is>
          <t>TNP CDR3 length</t>
        </is>
      </c>
      <c r="C219" s="9" t="inlineStr">
        <is>
          <t>TNP</t>
        </is>
      </c>
      <c r="D219" s="9" t="inlineStr">
        <is>
          <t>Titer</t>
        </is>
      </c>
      <c r="E219" s="9" t="n">
        <v>4062</v>
      </c>
      <c r="F219" s="9" t="inlineStr">
        <is>
          <t xml:space="preserve"> 0.075***</t>
        </is>
      </c>
      <c r="G219" s="9" t="n">
        <v>0.448</v>
      </c>
      <c r="H219" s="9" t="n">
        <v>0.326</v>
      </c>
    </row>
    <row r="220"/>
    <row r="221">
      <c r="B221" s="9" t="inlineStr">
        <is>
          <t>Module output</t>
        </is>
      </c>
      <c r="C221" s="9" t="inlineStr">
        <is>
          <t>Module name</t>
        </is>
      </c>
      <c r="D221" s="9" t="inlineStr">
        <is>
          <t>Property category</t>
        </is>
      </c>
      <c r="E221" s="9" t="inlineStr">
        <is>
          <t>Sample size</t>
        </is>
      </c>
      <c r="F221" s="9" t="inlineStr">
        <is>
          <t>Spearman correlation</t>
        </is>
      </c>
      <c r="G221" s="9" t="inlineStr">
        <is>
          <t>AuROC</t>
        </is>
      </c>
      <c r="H221" s="9" t="inlineStr">
        <is>
          <t>Positive ratio</t>
        </is>
      </c>
    </row>
    <row r="222">
      <c r="B222" s="9" t="inlineStr">
        <is>
          <t>TNP CDR3 length-transformed</t>
        </is>
      </c>
      <c r="C222" s="9" t="inlineStr">
        <is>
          <t>TNP</t>
        </is>
      </c>
      <c r="D222" s="9" t="inlineStr">
        <is>
          <t>Titer</t>
        </is>
      </c>
      <c r="E222" s="9" t="n">
        <v>4062</v>
      </c>
      <c r="F222" s="9" t="inlineStr">
        <is>
          <t xml:space="preserve"> 0.057***</t>
        </is>
      </c>
      <c r="G222" s="9" t="n">
        <v>0.467</v>
      </c>
      <c r="H222" s="9" t="n">
        <v>0.326</v>
      </c>
    </row>
    <row r="223">
      <c r="B223" s="9" t="inlineStr">
        <is>
          <t>TNP CDR3 Compactness</t>
        </is>
      </c>
      <c r="C223" s="9" t="inlineStr">
        <is>
          <t>TNP</t>
        </is>
      </c>
      <c r="D223" s="9" t="inlineStr">
        <is>
          <t>Titer</t>
        </is>
      </c>
      <c r="E223" s="9" t="n">
        <v>4062</v>
      </c>
      <c r="F223" s="9" t="inlineStr">
        <is>
          <t xml:space="preserve"> 0.113***</t>
        </is>
      </c>
      <c r="G223" s="9" t="n">
        <v>0.423</v>
      </c>
      <c r="H223" s="9" t="n">
        <v>0.326</v>
      </c>
    </row>
    <row r="224">
      <c r="B224" s="9" t="inlineStr">
        <is>
          <t>TNP CDR3 Compactness-transformed</t>
        </is>
      </c>
      <c r="C224" s="9" t="inlineStr">
        <is>
          <t>TNP</t>
        </is>
      </c>
      <c r="D224" s="9" t="inlineStr">
        <is>
          <t>Titer</t>
        </is>
      </c>
      <c r="E224" s="9" t="n">
        <v>4062</v>
      </c>
      <c r="F224" s="9" t="inlineStr">
        <is>
          <t xml:space="preserve">-0.018   </t>
        </is>
      </c>
      <c r="G224" s="9" t="n">
        <v>0.514</v>
      </c>
      <c r="H224" s="9" t="n">
        <v>0.326</v>
      </c>
    </row>
    <row r="225">
      <c r="B225" s="9" t="inlineStr">
        <is>
          <t>TNP Patches of Positive Charge (CDR-vicinity)</t>
        </is>
      </c>
      <c r="C225" s="9" t="inlineStr">
        <is>
          <t>TNP</t>
        </is>
      </c>
      <c r="D225" s="9" t="inlineStr">
        <is>
          <t>Titer</t>
        </is>
      </c>
      <c r="E225" s="9" t="n">
        <v>4062</v>
      </c>
      <c r="F225" s="9" t="inlineStr">
        <is>
          <t xml:space="preserve"> 0.092***</t>
        </is>
      </c>
      <c r="G225" s="9" t="n">
        <v>0.5639999999999999</v>
      </c>
      <c r="H225" s="9" t="n">
        <v>0.326</v>
      </c>
    </row>
    <row r="226">
      <c r="B226" s="9" t="inlineStr">
        <is>
          <t>TNP Patches of Negative Charge (CDR-vicinity)</t>
        </is>
      </c>
      <c r="C226" s="9" t="inlineStr">
        <is>
          <t>TNP</t>
        </is>
      </c>
      <c r="D226" s="9" t="inlineStr">
        <is>
          <t>Titer</t>
        </is>
      </c>
      <c r="E226" s="9" t="n">
        <v>4062</v>
      </c>
      <c r="F226" s="9" t="inlineStr">
        <is>
          <t xml:space="preserve"> 0.123***</t>
        </is>
      </c>
      <c r="G226" s="9" t="n">
        <v>0.578</v>
      </c>
      <c r="H226" s="9" t="n">
        <v>0.326</v>
      </c>
    </row>
    <row r="227">
      <c r="B227" s="9" t="inlineStr">
        <is>
          <t>TNP Total CDR length</t>
        </is>
      </c>
      <c r="C227" s="9" t="inlineStr">
        <is>
          <t>TNP</t>
        </is>
      </c>
      <c r="D227" s="9" t="inlineStr">
        <is>
          <t>Analytical Size Exclusion Chromatography</t>
        </is>
      </c>
      <c r="E227" s="9" t="n">
        <v>1447</v>
      </c>
      <c r="F227" s="9" t="inlineStr">
        <is>
          <t xml:space="preserve">-0.005   </t>
        </is>
      </c>
      <c r="G227" s="9" t="n">
        <v>0.522</v>
      </c>
      <c r="H227" s="9" t="n">
        <v>0.601</v>
      </c>
    </row>
    <row r="228">
      <c r="B228" s="9" t="inlineStr">
        <is>
          <t>TNP Total CDR length-transformed</t>
        </is>
      </c>
      <c r="C228" s="9" t="inlineStr">
        <is>
          <t>TNP</t>
        </is>
      </c>
      <c r="D228" s="9" t="inlineStr">
        <is>
          <t>Analytical Size Exclusion Chromatography</t>
        </is>
      </c>
      <c r="E228" s="9" t="n">
        <v>1447</v>
      </c>
      <c r="F228" s="9" t="inlineStr">
        <is>
          <t xml:space="preserve"> 0.173***</t>
        </is>
      </c>
      <c r="G228" s="9" t="n">
        <v>0.433</v>
      </c>
      <c r="H228" s="9" t="n">
        <v>0.601</v>
      </c>
    </row>
    <row r="229">
      <c r="B229" s="9" t="inlineStr">
        <is>
          <t>TNP CDR3 length</t>
        </is>
      </c>
      <c r="C229" s="9" t="inlineStr">
        <is>
          <t>TNP</t>
        </is>
      </c>
      <c r="D229" s="9" t="inlineStr">
        <is>
          <t>Analytical Size Exclusion Chromatography</t>
        </is>
      </c>
      <c r="E229" s="9" t="n">
        <v>1447</v>
      </c>
      <c r="F229" s="9" t="inlineStr">
        <is>
          <t xml:space="preserve">-0.008   </t>
        </is>
      </c>
      <c r="G229" s="9" t="n">
        <v>0.523</v>
      </c>
      <c r="H229" s="9" t="n">
        <v>0.601</v>
      </c>
    </row>
    <row r="230">
      <c r="B230" s="9" t="inlineStr">
        <is>
          <t>TNP CDR3 length-transformed</t>
        </is>
      </c>
      <c r="C230" s="9" t="inlineStr">
        <is>
          <t>TNP</t>
        </is>
      </c>
      <c r="D230" s="9" t="inlineStr">
        <is>
          <t>Analytical Size Exclusion Chromatography</t>
        </is>
      </c>
      <c r="E230" s="9" t="n">
        <v>1447</v>
      </c>
      <c r="F230" s="9" t="inlineStr">
        <is>
          <t xml:space="preserve"> 0.195***</t>
        </is>
      </c>
      <c r="G230" s="9" t="n">
        <v>0.42</v>
      </c>
      <c r="H230" s="9" t="n">
        <v>0.601</v>
      </c>
    </row>
    <row r="231">
      <c r="B231" s="9" t="inlineStr">
        <is>
          <t>TNP CDR3 Compactness</t>
        </is>
      </c>
      <c r="C231" s="9" t="inlineStr">
        <is>
          <t>TNP</t>
        </is>
      </c>
      <c r="D231" s="9" t="inlineStr">
        <is>
          <t>Analytical Size Exclusion Chromatography</t>
        </is>
      </c>
      <c r="E231" s="9" t="n">
        <v>1447</v>
      </c>
      <c r="F231" s="9" t="inlineStr">
        <is>
          <t xml:space="preserve"> 0.061*  </t>
        </is>
      </c>
      <c r="G231" s="9" t="n">
        <v>0.49</v>
      </c>
      <c r="H231" s="9" t="n">
        <v>0.601</v>
      </c>
    </row>
    <row r="232">
      <c r="B232" s="9" t="inlineStr">
        <is>
          <t>TNP CDR3 Compactness-transformed</t>
        </is>
      </c>
      <c r="C232" s="9" t="inlineStr">
        <is>
          <t>TNP</t>
        </is>
      </c>
      <c r="D232" s="9" t="inlineStr">
        <is>
          <t>Analytical Size Exclusion Chromatography</t>
        </is>
      </c>
      <c r="E232" s="9" t="n">
        <v>1447</v>
      </c>
      <c r="F232" s="9" t="inlineStr">
        <is>
          <t xml:space="preserve"> 0.162***</t>
        </is>
      </c>
      <c r="G232" s="9" t="n">
        <v>0.43</v>
      </c>
      <c r="H232" s="9" t="n">
        <v>0.601</v>
      </c>
    </row>
    <row r="233">
      <c r="B233" s="9" t="inlineStr">
        <is>
          <t>TNP Patches of Positive Charge (CDR-vicinity)</t>
        </is>
      </c>
      <c r="C233" s="9" t="inlineStr">
        <is>
          <t>TNP</t>
        </is>
      </c>
      <c r="D233" s="9" t="inlineStr">
        <is>
          <t>Analytical Size Exclusion Chromatography</t>
        </is>
      </c>
      <c r="E233" s="9" t="n">
        <v>1447</v>
      </c>
      <c r="F233" s="9" t="inlineStr">
        <is>
          <t xml:space="preserve"> 0.133***</t>
        </is>
      </c>
      <c r="G233" s="9" t="n">
        <v>0.5610000000000001</v>
      </c>
      <c r="H233" s="9" t="n">
        <v>0.601</v>
      </c>
    </row>
    <row r="234">
      <c r="B234" s="9" t="inlineStr">
        <is>
          <t>TNP Patches of Negative Charge (CDR-vicinity)</t>
        </is>
      </c>
      <c r="C234" s="9" t="inlineStr">
        <is>
          <t>TNP</t>
        </is>
      </c>
      <c r="D234" s="9" t="inlineStr">
        <is>
          <t>Analytical Size Exclusion Chromatography</t>
        </is>
      </c>
      <c r="E234" s="9" t="n">
        <v>1447</v>
      </c>
      <c r="F234" s="9" t="inlineStr">
        <is>
          <t xml:space="preserve">-0.026   </t>
        </is>
      </c>
      <c r="G234" s="9" t="n">
        <v>0.466</v>
      </c>
      <c r="H234" s="9" t="n">
        <v>0.601</v>
      </c>
    </row>
    <row r="235">
      <c r="B235" s="9" t="inlineStr">
        <is>
          <t>TNP Total CDR length</t>
        </is>
      </c>
      <c r="C235" s="9" t="inlineStr">
        <is>
          <t>TNP</t>
        </is>
      </c>
      <c r="D235" s="9" t="inlineStr">
        <is>
          <t>Thermostability (onset)</t>
        </is>
      </c>
      <c r="E235" s="9" t="n">
        <v>1404</v>
      </c>
      <c r="F235" s="9" t="inlineStr">
        <is>
          <t>-0.095***</t>
        </is>
      </c>
      <c r="G235" s="9" t="n">
        <v>0.541</v>
      </c>
      <c r="H235" s="9" t="n">
        <v>0.61</v>
      </c>
    </row>
    <row r="236">
      <c r="B236" s="9" t="inlineStr">
        <is>
          <t>TNP Total CDR length-transformed</t>
        </is>
      </c>
      <c r="C236" s="9" t="inlineStr">
        <is>
          <t>TNP</t>
        </is>
      </c>
      <c r="D236" s="9" t="inlineStr">
        <is>
          <t>Thermostability (onset)</t>
        </is>
      </c>
      <c r="E236" s="9" t="n">
        <v>1404</v>
      </c>
      <c r="F236" s="9" t="inlineStr">
        <is>
          <t xml:space="preserve">-0.033   </t>
        </is>
      </c>
      <c r="G236" s="9" t="n">
        <v>0.511</v>
      </c>
      <c r="H236" s="9" t="n">
        <v>0.61</v>
      </c>
    </row>
    <row r="237">
      <c r="B237" s="9" t="inlineStr">
        <is>
          <t>TNP CDR3 length</t>
        </is>
      </c>
      <c r="C237" s="9" t="inlineStr">
        <is>
          <t>TNP</t>
        </is>
      </c>
      <c r="D237" s="9" t="inlineStr">
        <is>
          <t>Thermostability (onset)</t>
        </is>
      </c>
      <c r="E237" s="9" t="n">
        <v>1404</v>
      </c>
      <c r="F237" s="9" t="inlineStr">
        <is>
          <t>-0.101***</t>
        </is>
      </c>
      <c r="G237" s="9" t="n">
        <v>0.542</v>
      </c>
      <c r="H237" s="9" t="n">
        <v>0.61</v>
      </c>
    </row>
    <row r="238">
      <c r="B238" s="9" t="inlineStr">
        <is>
          <t>TNP CDR3 length-transformed</t>
        </is>
      </c>
      <c r="C238" s="9" t="inlineStr">
        <is>
          <t>TNP</t>
        </is>
      </c>
      <c r="D238" s="9" t="inlineStr">
        <is>
          <t>Thermostability (onset)</t>
        </is>
      </c>
      <c r="E238" s="9" t="n">
        <v>1404</v>
      </c>
      <c r="F238" s="9" t="inlineStr">
        <is>
          <t xml:space="preserve">-0.005   </t>
        </is>
      </c>
      <c r="G238" s="9" t="n">
        <v>0.496</v>
      </c>
      <c r="H238" s="9" t="n">
        <v>0.61</v>
      </c>
    </row>
    <row r="239">
      <c r="B239" s="9" t="inlineStr">
        <is>
          <t>TNP CDR3 Compactness</t>
        </is>
      </c>
      <c r="C239" s="9" t="inlineStr">
        <is>
          <t>TNP</t>
        </is>
      </c>
      <c r="D239" s="9" t="inlineStr">
        <is>
          <t>Thermostability (onset)</t>
        </is>
      </c>
      <c r="E239" s="9" t="n">
        <v>1404</v>
      </c>
      <c r="F239" s="9" t="inlineStr">
        <is>
          <t>-0.096***</t>
        </is>
      </c>
      <c r="G239" s="9" t="n">
        <v>0.547</v>
      </c>
      <c r="H239" s="9" t="n">
        <v>0.61</v>
      </c>
    </row>
    <row r="240">
      <c r="B240" s="9" t="inlineStr">
        <is>
          <t>TNP CDR3 Compactness-transformed</t>
        </is>
      </c>
      <c r="C240" s="9" t="inlineStr">
        <is>
          <t>TNP</t>
        </is>
      </c>
      <c r="D240" s="9" t="inlineStr">
        <is>
          <t>Thermostability (onset)</t>
        </is>
      </c>
      <c r="E240" s="9" t="n">
        <v>1404</v>
      </c>
      <c r="F240" s="9" t="inlineStr">
        <is>
          <t xml:space="preserve"> 0.005   </t>
        </is>
      </c>
      <c r="G240" s="9" t="n">
        <v>0.481</v>
      </c>
      <c r="H240" s="9" t="n">
        <v>0.61</v>
      </c>
    </row>
    <row r="241">
      <c r="B241" s="9" t="inlineStr">
        <is>
          <t>TNP Patches of Positive Charge (CDR-vicinity)</t>
        </is>
      </c>
      <c r="C241" s="9" t="inlineStr">
        <is>
          <t>TNP</t>
        </is>
      </c>
      <c r="D241" s="9" t="inlineStr">
        <is>
          <t>Thermostability (onset)</t>
        </is>
      </c>
      <c r="E241" s="9" t="n">
        <v>1404</v>
      </c>
      <c r="F241" s="9" t="inlineStr">
        <is>
          <t xml:space="preserve"> 0.085***</t>
        </is>
      </c>
      <c r="G241" s="9" t="n">
        <v>0.554</v>
      </c>
      <c r="H241" s="9" t="n">
        <v>0.61</v>
      </c>
    </row>
    <row r="242"/>
    <row r="243">
      <c r="B243" s="9" t="inlineStr">
        <is>
          <t>Module output</t>
        </is>
      </c>
      <c r="C243" s="9" t="inlineStr">
        <is>
          <t>Module name</t>
        </is>
      </c>
      <c r="D243" s="9" t="inlineStr">
        <is>
          <t>Property category</t>
        </is>
      </c>
      <c r="E243" s="9" t="inlineStr">
        <is>
          <t>Sample size</t>
        </is>
      </c>
      <c r="F243" s="9" t="inlineStr">
        <is>
          <t>Spearman correlation</t>
        </is>
      </c>
      <c r="G243" s="9" t="inlineStr">
        <is>
          <t>AuROC</t>
        </is>
      </c>
      <c r="H243" s="9" t="inlineStr">
        <is>
          <t>Positive ratio</t>
        </is>
      </c>
    </row>
    <row r="244">
      <c r="B244" s="9" t="inlineStr">
        <is>
          <t>TNP Patches of Negative Charge (CDR-vicinity)</t>
        </is>
      </c>
      <c r="C244" s="9" t="inlineStr">
        <is>
          <t>TNP</t>
        </is>
      </c>
      <c r="D244" s="9" t="inlineStr">
        <is>
          <t>Thermostability (onset)</t>
        </is>
      </c>
      <c r="E244" s="9" t="n">
        <v>1404</v>
      </c>
      <c r="F244" s="9" t="inlineStr">
        <is>
          <t xml:space="preserve">-0.050   </t>
        </is>
      </c>
      <c r="G244" s="9" t="n">
        <v>0.482</v>
      </c>
      <c r="H244" s="9" t="n">
        <v>0.61</v>
      </c>
    </row>
    <row r="245">
      <c r="B245" s="9" t="inlineStr">
        <is>
          <t>TNP Total CDR length</t>
        </is>
      </c>
      <c r="C245" s="9" t="inlineStr">
        <is>
          <t>TNP</t>
        </is>
      </c>
      <c r="D245" s="9" t="inlineStr">
        <is>
          <t>Thermostability (Tm1)</t>
        </is>
      </c>
      <c r="E245" s="9" t="n">
        <v>1406</v>
      </c>
      <c r="F245" s="9" t="inlineStr">
        <is>
          <t>-0.117***</t>
        </is>
      </c>
      <c r="G245" s="9" t="n">
        <v>0.538</v>
      </c>
      <c r="H245" s="9" t="n">
        <v>0.582</v>
      </c>
    </row>
    <row r="246">
      <c r="B246" s="9" t="inlineStr">
        <is>
          <t>TNP Total CDR length-transformed</t>
        </is>
      </c>
      <c r="C246" s="9" t="inlineStr">
        <is>
          <t>TNP</t>
        </is>
      </c>
      <c r="D246" s="9" t="inlineStr">
        <is>
          <t>Thermostability (Tm1)</t>
        </is>
      </c>
      <c r="E246" s="9" t="n">
        <v>1406</v>
      </c>
      <c r="F246" s="9" t="inlineStr">
        <is>
          <t xml:space="preserve">-0.053*  </t>
        </is>
      </c>
      <c r="G246" s="9" t="n">
        <v>0.531</v>
      </c>
      <c r="H246" s="9" t="n">
        <v>0.582</v>
      </c>
    </row>
    <row r="247">
      <c r="B247" s="9" t="inlineStr">
        <is>
          <t>TNP CDR3 length</t>
        </is>
      </c>
      <c r="C247" s="9" t="inlineStr">
        <is>
          <t>TNP</t>
        </is>
      </c>
      <c r="D247" s="9" t="inlineStr">
        <is>
          <t>Thermostability (Tm1)</t>
        </is>
      </c>
      <c r="E247" s="9" t="n">
        <v>1406</v>
      </c>
      <c r="F247" s="9" t="inlineStr">
        <is>
          <t>-0.120***</t>
        </is>
      </c>
      <c r="G247" s="9" t="n">
        <v>0.539</v>
      </c>
      <c r="H247" s="9" t="n">
        <v>0.582</v>
      </c>
    </row>
    <row r="248">
      <c r="B248" s="9" t="inlineStr">
        <is>
          <t>TNP CDR3 length-transformed</t>
        </is>
      </c>
      <c r="C248" s="9" t="inlineStr">
        <is>
          <t>TNP</t>
        </is>
      </c>
      <c r="D248" s="9" t="inlineStr">
        <is>
          <t>Thermostability (Tm1)</t>
        </is>
      </c>
      <c r="E248" s="9" t="n">
        <v>1406</v>
      </c>
      <c r="F248" s="9" t="inlineStr">
        <is>
          <t xml:space="preserve">-0.022   </t>
        </is>
      </c>
      <c r="G248" s="9" t="n">
        <v>0.515</v>
      </c>
      <c r="H248" s="9" t="n">
        <v>0.582</v>
      </c>
    </row>
    <row r="249">
      <c r="B249" s="9" t="inlineStr">
        <is>
          <t>TNP CDR3 Compactness</t>
        </is>
      </c>
      <c r="C249" s="9" t="inlineStr">
        <is>
          <t>TNP</t>
        </is>
      </c>
      <c r="D249" s="9" t="inlineStr">
        <is>
          <t>Thermostability (Tm1)</t>
        </is>
      </c>
      <c r="E249" s="9" t="n">
        <v>1406</v>
      </c>
      <c r="F249" s="9" t="inlineStr">
        <is>
          <t>-0.114***</t>
        </is>
      </c>
      <c r="G249" s="9" t="n">
        <v>0.538</v>
      </c>
      <c r="H249" s="9" t="n">
        <v>0.582</v>
      </c>
    </row>
    <row r="250">
      <c r="B250" s="9" t="inlineStr">
        <is>
          <t>TNP CDR3 Compactness-transformed</t>
        </is>
      </c>
      <c r="C250" s="9" t="inlineStr">
        <is>
          <t>TNP</t>
        </is>
      </c>
      <c r="D250" s="9" t="inlineStr">
        <is>
          <t>Thermostability (Tm1)</t>
        </is>
      </c>
      <c r="E250" s="9" t="n">
        <v>1406</v>
      </c>
      <c r="F250" s="9" t="inlineStr">
        <is>
          <t xml:space="preserve">-0.007   </t>
        </is>
      </c>
      <c r="G250" s="9" t="n">
        <v>0.502</v>
      </c>
      <c r="H250" s="9" t="n">
        <v>0.582</v>
      </c>
    </row>
    <row r="251">
      <c r="B251" s="9" t="inlineStr">
        <is>
          <t>TNP Patches of Positive Charge (CDR-vicinity)</t>
        </is>
      </c>
      <c r="C251" s="9" t="inlineStr">
        <is>
          <t>TNP</t>
        </is>
      </c>
      <c r="D251" s="9" t="inlineStr">
        <is>
          <t>Thermostability (Tm1)</t>
        </is>
      </c>
      <c r="E251" s="9" t="n">
        <v>1406</v>
      </c>
      <c r="F251" s="9" t="inlineStr">
        <is>
          <t xml:space="preserve"> 0.097***</t>
        </is>
      </c>
      <c r="G251" s="9" t="n">
        <v>0.5639999999999999</v>
      </c>
      <c r="H251" s="9" t="n">
        <v>0.582</v>
      </c>
    </row>
    <row r="252">
      <c r="B252" s="9" t="inlineStr">
        <is>
          <t>TNP Patches of Negative Charge (CDR-vicinity)</t>
        </is>
      </c>
      <c r="C252" s="9" t="inlineStr">
        <is>
          <t>TNP</t>
        </is>
      </c>
      <c r="D252" s="9" t="inlineStr">
        <is>
          <t>Thermostability (Tm1)</t>
        </is>
      </c>
      <c r="E252" s="9" t="n">
        <v>1406</v>
      </c>
      <c r="F252" s="9" t="inlineStr">
        <is>
          <t xml:space="preserve">-0.066*  </t>
        </is>
      </c>
      <c r="G252" s="9" t="n">
        <v>0.485</v>
      </c>
      <c r="H252" s="9" t="n">
        <v>0.582</v>
      </c>
    </row>
    <row r="253">
      <c r="B253" s="9" t="inlineStr">
        <is>
          <t>TNP Total CDR length</t>
        </is>
      </c>
      <c r="C253" s="9" t="inlineStr">
        <is>
          <t>TNP</t>
        </is>
      </c>
      <c r="D253" s="9" t="inlineStr">
        <is>
          <t>Thermostability (Tm2)</t>
        </is>
      </c>
      <c r="E253" s="9" t="n">
        <v>1094</v>
      </c>
      <c r="F253" s="9" t="inlineStr">
        <is>
          <t xml:space="preserve"> 0.033   </t>
        </is>
      </c>
      <c r="G253" s="9" t="n">
        <v>0.507</v>
      </c>
      <c r="H253" s="9" t="n">
        <v>0.636</v>
      </c>
    </row>
    <row r="254">
      <c r="B254" s="9" t="inlineStr">
        <is>
          <t>TNP Total CDR length-transformed</t>
        </is>
      </c>
      <c r="C254" s="9" t="inlineStr">
        <is>
          <t>TNP</t>
        </is>
      </c>
      <c r="D254" s="9" t="inlineStr">
        <is>
          <t>Thermostability (Tm2)</t>
        </is>
      </c>
      <c r="E254" s="9" t="n">
        <v>1094</v>
      </c>
      <c r="F254" s="9" t="inlineStr">
        <is>
          <t xml:space="preserve">-0.073*  </t>
        </is>
      </c>
      <c r="G254" s="9" t="n">
        <v>0.509</v>
      </c>
      <c r="H254" s="9" t="n">
        <v>0.636</v>
      </c>
    </row>
    <row r="255">
      <c r="B255" s="9" t="inlineStr">
        <is>
          <t>TNP CDR3 length</t>
        </is>
      </c>
      <c r="C255" s="9" t="inlineStr">
        <is>
          <t>TNP</t>
        </is>
      </c>
      <c r="D255" s="9" t="inlineStr">
        <is>
          <t>Thermostability (Tm2)</t>
        </is>
      </c>
      <c r="E255" s="9" t="n">
        <v>1094</v>
      </c>
      <c r="F255" s="9" t="inlineStr">
        <is>
          <t xml:space="preserve"> 0.028   </t>
        </is>
      </c>
      <c r="G255" s="9" t="n">
        <v>0.51</v>
      </c>
      <c r="H255" s="9" t="n">
        <v>0.636</v>
      </c>
    </row>
    <row r="256">
      <c r="B256" s="9" t="inlineStr">
        <is>
          <t>TNP CDR3 length-transformed</t>
        </is>
      </c>
      <c r="C256" s="9" t="inlineStr">
        <is>
          <t>TNP</t>
        </is>
      </c>
      <c r="D256" s="9" t="inlineStr">
        <is>
          <t>Thermostability (Tm2)</t>
        </is>
      </c>
      <c r="E256" s="9" t="n">
        <v>1094</v>
      </c>
      <c r="F256" s="9" t="inlineStr">
        <is>
          <t xml:space="preserve">-0.065*  </t>
        </is>
      </c>
      <c r="G256" s="9" t="n">
        <v>0.511</v>
      </c>
      <c r="H256" s="9" t="n">
        <v>0.636</v>
      </c>
    </row>
    <row r="257">
      <c r="B257" s="9" t="inlineStr">
        <is>
          <t>TNP CDR3 Compactness</t>
        </is>
      </c>
      <c r="C257" s="9" t="inlineStr">
        <is>
          <t>TNP</t>
        </is>
      </c>
      <c r="D257" s="9" t="inlineStr">
        <is>
          <t>Thermostability (Tm2)</t>
        </is>
      </c>
      <c r="E257" s="9" t="n">
        <v>1094</v>
      </c>
      <c r="F257" s="9" t="inlineStr">
        <is>
          <t xml:space="preserve"> 0.012   </t>
        </is>
      </c>
      <c r="G257" s="9" t="n">
        <v>0.505</v>
      </c>
      <c r="H257" s="9" t="n">
        <v>0.636</v>
      </c>
    </row>
    <row r="258">
      <c r="B258" s="9" t="inlineStr">
        <is>
          <t>TNP CDR3 Compactness-transformed</t>
        </is>
      </c>
      <c r="C258" s="9" t="inlineStr">
        <is>
          <t>TNP</t>
        </is>
      </c>
      <c r="D258" s="9" t="inlineStr">
        <is>
          <t>Thermostability (Tm2)</t>
        </is>
      </c>
      <c r="E258" s="9" t="n">
        <v>1094</v>
      </c>
      <c r="F258" s="9" t="inlineStr">
        <is>
          <t xml:space="preserve">-0.027   </t>
        </is>
      </c>
      <c r="G258" s="9" t="n">
        <v>0.503</v>
      </c>
      <c r="H258" s="9" t="n">
        <v>0.636</v>
      </c>
    </row>
    <row r="259">
      <c r="B259" s="9" t="inlineStr">
        <is>
          <t>TNP Patches of Positive Charge (CDR-vicinity)</t>
        </is>
      </c>
      <c r="C259" s="9" t="inlineStr">
        <is>
          <t>TNP</t>
        </is>
      </c>
      <c r="D259" s="9" t="inlineStr">
        <is>
          <t>Thermostability (Tm2)</t>
        </is>
      </c>
      <c r="E259" s="9" t="n">
        <v>1094</v>
      </c>
      <c r="F259" s="9" t="inlineStr">
        <is>
          <t xml:space="preserve"> 0.096***</t>
        </is>
      </c>
      <c r="G259" s="9" t="n">
        <v>0.529</v>
      </c>
      <c r="H259" s="9" t="n">
        <v>0.636</v>
      </c>
    </row>
    <row r="260">
      <c r="B260" s="9" t="inlineStr">
        <is>
          <t>TNP Patches of Negative Charge (CDR-vicinity)</t>
        </is>
      </c>
      <c r="C260" s="9" t="inlineStr">
        <is>
          <t>TNP</t>
        </is>
      </c>
      <c r="D260" s="9" t="inlineStr">
        <is>
          <t>Thermostability (Tm2)</t>
        </is>
      </c>
      <c r="E260" s="9" t="n">
        <v>1094</v>
      </c>
      <c r="F260" s="9" t="inlineStr">
        <is>
          <t xml:space="preserve"> 0.012   </t>
        </is>
      </c>
      <c r="G260" s="9" t="n">
        <v>0.48</v>
      </c>
      <c r="H260" s="9" t="n">
        <v>0.636</v>
      </c>
    </row>
    <row r="261">
      <c r="B261" s="9" t="inlineStr">
        <is>
          <t>TNP Total CDR length</t>
        </is>
      </c>
      <c r="C261" s="9" t="inlineStr">
        <is>
          <t>TNP</t>
        </is>
      </c>
      <c r="D261" s="9" t="inlineStr">
        <is>
          <t>Thermostability (Tm3)</t>
        </is>
      </c>
      <c r="E261" s="9" t="n">
        <v>177</v>
      </c>
      <c r="F261" s="9" t="inlineStr">
        <is>
          <t xml:space="preserve"> 0.176*  </t>
        </is>
      </c>
      <c r="G261" s="9" t="n">
        <v>0.441</v>
      </c>
      <c r="H261" s="9" t="n">
        <v>0.418</v>
      </c>
    </row>
    <row r="262">
      <c r="B262" s="9" t="inlineStr">
        <is>
          <t>TNP Total CDR length-transformed</t>
        </is>
      </c>
      <c r="C262" s="9" t="inlineStr">
        <is>
          <t>TNP</t>
        </is>
      </c>
      <c r="D262" s="9" t="inlineStr">
        <is>
          <t>Thermostability (Tm3)</t>
        </is>
      </c>
      <c r="E262" s="9" t="n">
        <v>177</v>
      </c>
      <c r="F262" s="9" t="inlineStr">
        <is>
          <t xml:space="preserve">-0.131   </t>
        </is>
      </c>
      <c r="G262" s="9" t="n">
        <v>0.604</v>
      </c>
      <c r="H262" s="9" t="n">
        <v>0.418</v>
      </c>
    </row>
    <row r="263">
      <c r="B263" s="9" t="inlineStr">
        <is>
          <t>TNP CDR3 length</t>
        </is>
      </c>
      <c r="C263" s="9" t="inlineStr">
        <is>
          <t>TNP</t>
        </is>
      </c>
      <c r="D263" s="9" t="inlineStr">
        <is>
          <t>Thermostability (Tm3)</t>
        </is>
      </c>
      <c r="E263" s="9" t="n">
        <v>177</v>
      </c>
      <c r="F263" s="9" t="inlineStr">
        <is>
          <t xml:space="preserve"> 0.169*  </t>
        </is>
      </c>
      <c r="G263" s="9" t="n">
        <v>0.449</v>
      </c>
      <c r="H263" s="9" t="n">
        <v>0.418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0" customWidth="1" min="2" max="2"/>
  </cols>
  <sheetData>
    <row r="1">
      <c r="A1" s="4" t="inlineStr">
        <is>
          <t>Total rows</t>
        </is>
      </c>
      <c r="B1" s="3">
        <f>COUNTA(module_evaluation!A2:A191)</f>
        <v/>
      </c>
    </row>
    <row r="2">
      <c r="A2" s="4" t="inlineStr">
        <is>
          <t>Mismatch rows (suspected mis-scrape)</t>
        </is>
      </c>
      <c r="B2" s="3">
        <f>COUNTIF(module_evaluation!K2:K191,"MISMATCH")</f>
        <v/>
      </c>
    </row>
    <row r="3">
      <c r="A3" s="4" t="inlineStr">
        <is>
          <t>Exact-duplicate rows (harmless re-render)</t>
        </is>
      </c>
      <c r="B3" s="3">
        <f>COUNTIF(module_evaluation!K2:K191,"EXACT_DUP")</f>
        <v/>
      </c>
    </row>
    <row r="4">
      <c r="A4" s="4" t="inlineStr">
        <is>
          <t>Unique rows</t>
        </is>
      </c>
      <c r="B4" s="3">
        <f>B1-B2-B3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2026-07-03T01:23:18Z</dcterms:created>
  <dcterms:modified xsi:type="dcterms:W3CDTF">2026-07-03T16:48:50Z</dcterms:modified>
  <cp:lastModifiedBy>Ryan Osterday</cp:lastModifiedBy>
</cp:coreProperties>
</file>